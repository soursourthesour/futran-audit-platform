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02"/>
  <workbookPr/>
  <xr:revisionPtr revIDLastSave="0" documentId="11_B822C80658A850CAA99B63747C9C8D52F8E17805" xr6:coauthVersionLast="47" xr6:coauthVersionMax="47" xr10:uidLastSave="{00000000-0000-0000-0000-000000000000}"/>
  <bookViews>
    <workbookView xWindow="0" yWindow="0" windowWidth="16384" windowHeight="8192" tabRatio="500" xr2:uid="{00000000-000D-0000-FFFF-FFFF00000000}"/>
  </bookViews>
  <sheets>
    <sheet name="Read Me" sheetId="1" r:id="rId1"/>
    <sheet name="Federal Laws" sheetId="2" r:id="rId2"/>
    <sheet name="State Matrix" sheetId="3" r:id="rId3"/>
    <sheet name="Global Matrix" sheetId="4" r:id="rId4"/>
    <sheet name="EU" sheetId="5" r:id="rId5"/>
    <sheet name="UK" sheetId="6" r:id="rId6"/>
    <sheet name="Canada" sheetId="7" r:id="rId7"/>
    <sheet name="Mexico" sheetId="8" r:id="rId8"/>
    <sheet name="Brazil" sheetId="9" r:id="rId9"/>
    <sheet name="India" sheetId="10" r:id="rId10"/>
    <sheet name="Gulf" sheetId="11" r:id="rId11"/>
    <sheet name="Australia" sheetId="12" r:id="rId12"/>
    <sheet name="Singapore" sheetId="13" r:id="rId13"/>
    <sheet name="Coverage Summary" sheetId="14" r:id="rId14"/>
    <sheet name="Sources" sheetId="15" r:id="rId15"/>
  </sheets>
  <definedNames>
    <definedName name="_xlnm._FilterDatabase" localSheetId="11" hidden="1">Australia!$A$4:$H$13</definedName>
    <definedName name="_xlnm._FilterDatabase" localSheetId="8" hidden="1">Brazil!$A$4:$H$11</definedName>
    <definedName name="_xlnm._FilterDatabase" localSheetId="6" hidden="1">Canada!$A$4:$H$12</definedName>
    <definedName name="_xlnm._FilterDatabase" localSheetId="4" hidden="1">EU!$A$4:$H$13</definedName>
    <definedName name="_xlnm._FilterDatabase" localSheetId="1" hidden="1">'Federal Laws'!$A$4:$H$30</definedName>
    <definedName name="_xlnm._FilterDatabase" localSheetId="3" hidden="1">'Global Matrix'!$A$4:$J$16</definedName>
    <definedName name="_xlnm._FilterDatabase" localSheetId="10" hidden="1">Gulf!$A$4:$H$16</definedName>
    <definedName name="_xlnm._FilterDatabase" localSheetId="9" hidden="1">India!$A$4:$H$12</definedName>
    <definedName name="_xlnm._FilterDatabase" localSheetId="7" hidden="1">Mexico!$A$4:$H$10</definedName>
    <definedName name="_xlnm._FilterDatabase" localSheetId="12" hidden="1">Singapore!$A$4:$H$12</definedName>
    <definedName name="_xlnm._FilterDatabase" localSheetId="2" hidden="1">'State Matrix'!$A$4:$J$30</definedName>
    <definedName name="_xlnm._FilterDatabase" localSheetId="5" hidden="1">UK!$A$4:$H$12</definedName>
    <definedName name="_xlnm.Print_Titles" localSheetId="11">Australia!$4:$4</definedName>
    <definedName name="_xlnm.Print_Titles" localSheetId="8">Brazil!$4:$4</definedName>
    <definedName name="_xlnm.Print_Titles" localSheetId="6">Canada!$4:$4</definedName>
    <definedName name="_xlnm.Print_Titles" localSheetId="4">EU!$4:$4</definedName>
    <definedName name="_xlnm.Print_Titles" localSheetId="1">'Federal Laws'!$4:$4</definedName>
    <definedName name="_xlnm.Print_Titles" localSheetId="3">'Global Matrix'!$4:$4</definedName>
    <definedName name="_xlnm.Print_Titles" localSheetId="10">Gulf!$4:$4</definedName>
    <definedName name="_xlnm.Print_Titles" localSheetId="9">India!$4:$4</definedName>
    <definedName name="_xlnm.Print_Titles" localSheetId="7">Mexico!$4:$4</definedName>
    <definedName name="_xlnm.Print_Titles" localSheetId="12">Singapore!$4:$4</definedName>
    <definedName name="_xlnm.Print_Titles" localSheetId="2">'State Matrix'!$4:$4</definedName>
    <definedName name="_xlnm.Print_Titles" localSheetId="5">UK!$4:$4</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30" i="14" l="1"/>
  <c r="B29" i="14"/>
  <c r="C29" i="14" s="1"/>
  <c r="B28" i="14"/>
  <c r="C28" i="14" s="1"/>
  <c r="B27" i="14"/>
  <c r="C27" i="14" s="1"/>
  <c r="B26" i="14"/>
  <c r="C26" i="14" s="1"/>
  <c r="B25" i="14"/>
  <c r="C25" i="14" s="1"/>
  <c r="B24" i="14"/>
  <c r="C24" i="14" s="1"/>
  <c r="B23" i="14"/>
  <c r="C23" i="14" s="1"/>
  <c r="B22" i="14"/>
  <c r="C22" i="14" s="1"/>
  <c r="B21" i="14"/>
  <c r="C21" i="14" s="1"/>
  <c r="B15" i="14"/>
  <c r="B13" i="14"/>
  <c r="C13" i="14" s="1"/>
  <c r="B12" i="14"/>
  <c r="C12" i="14" s="1"/>
  <c r="B11" i="14"/>
  <c r="C11" i="14" s="1"/>
  <c r="B10" i="14"/>
  <c r="C10" i="14" s="1"/>
  <c r="B9" i="14"/>
  <c r="C9" i="14" s="1"/>
  <c r="B8" i="14"/>
  <c r="C8" i="14" s="1"/>
  <c r="B7" i="14"/>
  <c r="C7" i="14" s="1"/>
  <c r="B6" i="14"/>
  <c r="C6" i="14" s="1"/>
  <c r="B5" i="14"/>
  <c r="C5" i="14" s="1"/>
</calcChain>
</file>

<file path=xl/sharedStrings.xml><?xml version="1.0" encoding="utf-8"?>
<sst xmlns="http://schemas.openxmlformats.org/spreadsheetml/2006/main" count="1431" uniqueCount="1025">
  <si>
    <t>AI Governance Law Matrix — US (Federal &amp; State) and Global</t>
  </si>
  <si>
    <t>Futran Solutions · AI Task Force · Status as of 5 October 2026</t>
  </si>
  <si>
    <t>Purpose</t>
  </si>
  <si>
    <t>One-page reference for which US laws reach AI systems: (1) existing US federal laws that already apply to AI, (2) new AI-specific US state laws by state and regulated feature, and (3) AI governance laws in the EU, UK, Canada, Mexico, Brazil, India, the Gulf, Australia and Singapore.</t>
  </si>
  <si>
    <t>Tabs</t>
  </si>
  <si>
    <t>Federal Laws — existing statutes, regulations, executive actions and pending bills, with when each reaches AI and what it requires.
State Matrix — 26 of the most active states (rows) × 8 regulated features (columns). Each cell gives the law, effective date and core obligations.
Global Matrix — 12 jurisdictions (EU, UK, Canada, Mexico, Brazil, India, UAE, Saudi Arabia, Qatar, Bahrain, Australia, Singapore) × the same features as the State Matrix.
EU · UK · Canada · Mexico · Brazil · India · Gulf · Australia · Singapore — one detail tab per jurisdiction in the Federal Laws layout: each law, its type (binding / guidance / voluntary / pending), regulator, when it reaches AI, obligations and 2025–26 dates.
Coverage Summary — how many listed states and jurisdictions have an entry in each feature area (live COUNTIF formulas).
Sources — where the 2025–26 information came from.</t>
  </si>
  <si>
    <t>How to read the State Matrix</t>
  </si>
  <si>
    <t>Columns are the feature of an AI system that triggers the law: making consequential decisions, hiring, profiling personal data, health/insurance use, chatbots and minors, synthetic content and likeness, frontier-model development, and biometrics/neural data/pricing. A final column covers government use, other items and pending bills.
'—' means no AI-specific law identified for that state and feature. Federal laws (Federal Laws tab) still apply in every state.</t>
  </si>
  <si>
    <t>Colour key</t>
  </si>
  <si>
    <t>Navy header = column / feature.  Light blue first column = state.  Amber cell = contains a detail marked '(verify)' — status or date not confirmed from a primary source; check before relying on it.</t>
  </si>
  <si>
    <t>Key takeaway</t>
  </si>
  <si>
    <t>Most obligations on companies that DEPLOY AI come from (a) existing federal anti-discrimination, consumer-protection, credit and health law, and (b) state laws on how AI is USED — the laws least likely to be displaced by any federal preemption proposal currently under discussion.</t>
  </si>
  <si>
    <t>Scope limits</t>
  </si>
  <si>
    <t>Not exhaustive: states enacted 84 AI laws in the first half of 2026 alone. The matrix prioritizes laws that create obligations for businesses. Election-only deepfake laws and narrow public-sector rules are noted selectively. Local laws are included only where significant (NYC Local Law 144).</t>
  </si>
  <si>
    <t>Disclaimer</t>
  </si>
  <si>
    <t>For general information only; not legal advice. AI law is changing month to month — confirm current status with counsel before acting.</t>
  </si>
  <si>
    <t>Federal Laws Affecting AI Governance</t>
  </si>
  <si>
    <t>Existing laws apply to AI today with no AI-specific statute required. Executive actions and voluntary instruments are guidance, not binding law on private companies.</t>
  </si>
  <si>
    <t>Category</t>
  </si>
  <si>
    <t>Law / Instrument</t>
  </si>
  <si>
    <t>Type</t>
  </si>
  <si>
    <t>Enforcer</t>
  </si>
  <si>
    <t>When it reaches AI</t>
  </si>
  <si>
    <t>Key obligations for organizations using AI</t>
  </si>
  <si>
    <t>2025–26 developments</t>
  </si>
  <si>
    <t>Most affected</t>
  </si>
  <si>
    <t>Employment</t>
  </si>
  <si>
    <t>Title VII, Civil Rights Act of 1964</t>
  </si>
  <si>
    <t>Statute</t>
  </si>
  <si>
    <t>EEOC; private lawsuits</t>
  </si>
  <si>
    <t>AI screening, ranking, interviewing or promotion tools that produce disparate impact by race, color, religion, sex or national origin.</t>
  </si>
  <si>
    <t>Employer liable for discriminatory effect even when the tool is a vendor's. Validate tools, monitor selection rates (4/5ths rule), keep records, offer alternatives.</t>
  </si>
  <si>
    <t>EEOC removed its AI technical-assistance documents (Jan 2025). EO 14281 (Apr 2025) directs agencies to deprioritize disparate-impact enforcement — private suits are unaffected. Mobley v. Workday: court accepted that an AI vendor can be liable as the employer's agent.</t>
  </si>
  <si>
    <t>Employers, staffing firms, HR-tech vendors</t>
  </si>
  <si>
    <t>Age Discrimination in Employment Act (ADEA)</t>
  </si>
  <si>
    <t>AI tools that screen out applicants 40+ (e.g., via graduation dates, years of experience, proxies).</t>
  </si>
  <si>
    <t>Same disparate-impact discipline as Title VII; audit for age effects.</t>
  </si>
  <si>
    <t>Mobley v. Workday age claims proceeding as a nationwide collective action (certified 2025); Workday ordered to identify employers using HiredScore features.</t>
  </si>
  <si>
    <t>Employers, staffing firms</t>
  </si>
  <si>
    <t>Americans with Disabilities Act (ADA)</t>
  </si>
  <si>
    <t>EEOC; DOJ; private lawsuits</t>
  </si>
  <si>
    <t>Assessments, video/voice analysis, games or chatbots that screen out people with disabilities or make medical inquiries.</t>
  </si>
  <si>
    <t>Provide reasonable accommodations and alternative assessments; tell applicants how the tool works; avoid disability-related inquiries.</t>
  </si>
  <si>
    <t>Disability and proxy-discrimination claims allowed to proceed in Mobley (2026).</t>
  </si>
  <si>
    <t>Employers; customer-facing AI</t>
  </si>
  <si>
    <t>Employment / Credit</t>
  </si>
  <si>
    <t>Fair Credit Reporting Act (FCRA)</t>
  </si>
  <si>
    <t>CFPB; FTC; private lawsuits</t>
  </si>
  <si>
    <t>AI vendors that assemble or score third-party data on candidates, tenants or borrowers may be consumer reporting agencies.</t>
  </si>
  <si>
    <t>Permissible purpose; certifications; disclosure and written authorization (employment); pre-adverse and adverse action notices; accuracy and dispute rights.</t>
  </si>
  <si>
    <t>Eightfold AI class action (Jan 2026) alleges an AI hiring platform operated as an unregistered CRA. CFPB withdrew many guidance documents in 2025 — FCRA itself unchanged.</t>
  </si>
  <si>
    <t>Employers, landlords, lenders, background-check &amp; HR-tech vendors</t>
  </si>
  <si>
    <t>Credit</t>
  </si>
  <si>
    <t>Equal Credit Opportunity Act (ECOA) / Regulation B</t>
  </si>
  <si>
    <t>Statute &amp; regulation</t>
  </si>
  <si>
    <t>CFPB; FTC; bank regulators</t>
  </si>
  <si>
    <t>AI or complex models used in credit underwriting, pricing or limits.</t>
  </si>
  <si>
    <t>No discrimination on protected bases; adverse action notices must give specific, accurate reasons — 'the model said so' is not enough.</t>
  </si>
  <si>
    <t>CFPB circulars (2022-03, 2023-03) on algorithmic adverse-action reasons; CFPB enforcement scaled back in 2025 (verify current circular status). Statute still privately enforceable.</t>
  </si>
  <si>
    <t>Lenders, fintechs, auto dealers</t>
  </si>
  <si>
    <t>Housing</t>
  </si>
  <si>
    <t>Fair Housing Act</t>
  </si>
  <si>
    <t>HUD; DOJ; private lawsuits</t>
  </si>
  <si>
    <t>Tenant-screening scores, ad targeting and pricing algorithms in housing.</t>
  </si>
  <si>
    <t>Avoid discriminatory effects; validate screening criteria; consider individual circumstances.</t>
  </si>
  <si>
    <t>SafeRent Solutions settled a tenant-screening algorithm class action ($2.3M, 2024). HUD's 2024 AI guidance status under current administration uncertain (verify).</t>
  </si>
  <si>
    <t>Landlords, property managers, screening vendors</t>
  </si>
  <si>
    <t>Consumer protection</t>
  </si>
  <si>
    <t>FTC Act §5 (unfair or deceptive practices)</t>
  </si>
  <si>
    <t>FTC</t>
  </si>
  <si>
    <t>False or unsupported AI claims ('AI washing'), unfair AI deployments, misuse of data to train models, deceptive chatbots.</t>
  </si>
  <si>
    <t>Substantiate AI marketing claims; assess and test for foreseeable harm before deploying; honor privacy promises; avoid dark patterns.</t>
  </si>
  <si>
    <t>Operation AI Comply (2024); Rite Aid facial-recognition ban (2023); 6(b) study of companion chatbots (Sept 2025); reported investigation of frontier labs over AI safety (2026). AI Action Plan directs review of prior FTC actions that 'unduly burden' AI.</t>
  </si>
  <si>
    <t>All businesses using or marketing AI</t>
  </si>
  <si>
    <t>Consumer protection / Minors</t>
  </si>
  <si>
    <t>Children's Online Privacy Protection Act (COPPA) &amp; 2025 amended Rule</t>
  </si>
  <si>
    <t>FTC; state AGs</t>
  </si>
  <si>
    <t>AI products or training data involving personal data of children under 13.</t>
  </si>
  <si>
    <t>Verifiable parental consent; separate consent before disclosing children's data to third parties (including for AI training); data minimization and retention limits.</t>
  </si>
  <si>
    <t>Amended Rule effective June 2025; compliance deadline 22 April 2026.</t>
  </si>
  <si>
    <t>Ed-tech, consumer apps, chatbot providers</t>
  </si>
  <si>
    <t>Content</t>
  </si>
  <si>
    <t>TAKE IT DOWN Act (2025)</t>
  </si>
  <si>
    <t>DOJ (criminal); FTC (platforms)</t>
  </si>
  <si>
    <t>Publishing non-consensual intimate images, including AI-generated deepfakes.</t>
  </si>
  <si>
    <t>Covered platforms must run a notice-and-removal process and take down flagged content within 48 hours.</t>
  </si>
  <si>
    <t>Signed 19 May 2025; platform removal obligations in force since 19 May 2026.</t>
  </si>
  <si>
    <t>Platforms, generative-image providers</t>
  </si>
  <si>
    <t>Health</t>
  </si>
  <si>
    <t>HIPAA Privacy &amp; Security Rules</t>
  </si>
  <si>
    <t>HHS Office for Civil Rights</t>
  </si>
  <si>
    <t>Any AI tool that creates, receives, stores or transmits protected health information (PHI).</t>
  </si>
  <si>
    <t>Business associate agreement (BAA) with AI vendors; minimum-necessary use; de-identification before training; security risk analysis covering AI.</t>
  </si>
  <si>
    <t>Proposed Security Rule update (Jan 2025) would require AI assets in risk analysis and asset inventory (verify final status).</t>
  </si>
  <si>
    <t>Providers, health plans, health-tech vendors</t>
  </si>
  <si>
    <t>ACA §1557 Rule — 45 CFR 92.210</t>
  </si>
  <si>
    <t>Regulation</t>
  </si>
  <si>
    <t>'Patient care decision support tools,' including AI, used by covered health programs.</t>
  </si>
  <si>
    <t>Make reasonable efforts to identify tools that use protected characteristics and mitigate discrimination risk.</t>
  </si>
  <si>
    <t>Obligation effective 1 May 2025.</t>
  </si>
  <si>
    <t>Hospitals, clinics, health plans</t>
  </si>
  <si>
    <t>CMS Medicare Advantage rule (CMS-4201-F) &amp; 2024 FAQ</t>
  </si>
  <si>
    <t>Regulation &amp; guidance</t>
  </si>
  <si>
    <t>CMS</t>
  </si>
  <si>
    <t>Algorithms used in coverage and medical-necessity decisions for Medicare Advantage.</t>
  </si>
  <si>
    <t>Decisions must reflect the individual patient's circumstances; an algorithm alone cannot deny or terminate care.</t>
  </si>
  <si>
    <t>Many states now mirror this in commercial insurance (see State Matrix, Health column).</t>
  </si>
  <si>
    <t>MA plans, utilization-review vendors</t>
  </si>
  <si>
    <t>FDA — AI-enabled device software functions</t>
  </si>
  <si>
    <t>FDA</t>
  </si>
  <si>
    <t>AI that diagnoses, treats or prevents disease (software as a medical device).</t>
  </si>
  <si>
    <t>Pre-market review; Predetermined Change Control Plans for model updates; lifecycle performance monitoring.</t>
  </si>
  <si>
    <t>PCCP final guidance (Dec 2024); draft AI-enabled device lifecycle guidance (Jan 2025).</t>
  </si>
  <si>
    <t>Med-tech, digital health</t>
  </si>
  <si>
    <t>Financial</t>
  </si>
  <si>
    <t>Gramm-Leach-Bliley Act (GLBA) &amp; FTC Safeguards Rule</t>
  </si>
  <si>
    <t>FTC; bank regulators; CFPB</t>
  </si>
  <si>
    <t>Using customer financial data in AI tools or sharing it with AI vendors.</t>
  </si>
  <si>
    <t>Information security program; vendor oversight; privacy notices and opt-outs for sharing.</t>
  </si>
  <si>
    <t>Safeguards Rule breach-notification amendment in force May 2024.</t>
  </si>
  <si>
    <t>Banks, lenders, insurers, fintechs</t>
  </si>
  <si>
    <t>Securities laws — SEC / FINRA</t>
  </si>
  <si>
    <t>SEC; FINRA</t>
  </si>
  <si>
    <t>AI claims to investors; AI in advice, trading or customer communications.</t>
  </si>
  <si>
    <t>No misleading 'AI washing'; supervise AI-generated communications; manage conflicts.</t>
  </si>
  <si>
    <t>First AI-washing settlements (Delphia, Global Predictions, Mar 2024). SEC withdrew proposed predictive-data-analytics rule (June 2025).</t>
  </si>
  <si>
    <t>Advisers, broker-dealers, public companies</t>
  </si>
  <si>
    <t>IP</t>
  </si>
  <si>
    <t>Copyright Act</t>
  </si>
  <si>
    <t>Courts; US Copyright Office</t>
  </si>
  <si>
    <t>Training on copyrighted works; copyrightability of AI outputs; infringing outputs.</t>
  </si>
  <si>
    <t>Track training-data provenance and licences; human authorship needed for copyright protection of outputs.</t>
  </si>
  <si>
    <t>Copyright Office report on generative AI training (May 2025); Thomson Reuters v. Ross (2025, fair use rejected); Bartz v. Anthropic settlement ($1.5B, 2025); NYT v. OpenAI ongoing. White House framework (Mar 2026) leaves fair use to the courts.</t>
  </si>
  <si>
    <t>Model developers; content-heavy deployers</t>
  </si>
  <si>
    <t>Executive</t>
  </si>
  <si>
    <t>EO 14179 — Removing Barriers to American Leadership in AI</t>
  </si>
  <si>
    <t>Executive order</t>
  </si>
  <si>
    <t>White House</t>
  </si>
  <si>
    <t>Federal AI policy direction.</t>
  </si>
  <si>
    <t>No direct private-sector obligations.</t>
  </si>
  <si>
    <t>Signed 23 Jan 2025; revoked Biden EO 14110; directed the AI Action Plan.</t>
  </si>
  <si>
    <t>—</t>
  </si>
  <si>
    <t>America's AI Action Plan</t>
  </si>
  <si>
    <t>Policy</t>
  </si>
  <si>
    <t>OSTP, OMB, Commerce, others</t>
  </si>
  <si>
    <t>Federal AI policy across innovation, infrastructure and diplomacy.</t>
  </si>
  <si>
    <t>No direct obligations. Signals: fewer federal rules, funding pressure on states with 'burdensome' AI laws, NIST AI RMF revisions, AI evaluations ecosystem.</t>
  </si>
  <si>
    <t>Released July 2025.</t>
  </si>
  <si>
    <t>All — policy direction</t>
  </si>
  <si>
    <t>EO 14365 — National Policy Framework for AI</t>
  </si>
  <si>
    <t>DOJ AI Litigation Task Force; FCC; FTC</t>
  </si>
  <si>
    <t>Challenges to state AI laws.</t>
  </si>
  <si>
    <t>No direct obligations; state laws remain in force unless a court rules otherwise.</t>
  </si>
  <si>
    <t>Signed 11 Dec 2025. Task force had not filed or won a case against a state law as of Sept 2026.</t>
  </si>
  <si>
    <t>Companies subject to state AI laws</t>
  </si>
  <si>
    <t>OMB M-25-21 &amp; M-25-22</t>
  </si>
  <si>
    <t>Federal agency policy</t>
  </si>
  <si>
    <t>OMB</t>
  </si>
  <si>
    <t>AI used or bought by federal agencies.</t>
  </si>
  <si>
    <t>For vendors: minimum risk practices for 'high-impact' AI, documentation and testing in federal contracts.</t>
  </si>
  <si>
    <t>Issued April 2025.</t>
  </si>
  <si>
    <t>Federal contractors</t>
  </si>
  <si>
    <t>National AI Policy Framework (legislative recommendations)</t>
  </si>
  <si>
    <t>Asks Congress to preempt 'unduly burdensome' state AI laws (preserving child safety, fraud, zoning, procurement), limit developer liability, avoid a new AI regulator.</t>
  </si>
  <si>
    <t>No obligations until Congress acts.</t>
  </si>
  <si>
    <t>Released 20 Mar 2026.</t>
  </si>
  <si>
    <t>All — watch item</t>
  </si>
  <si>
    <t>Voluntary</t>
  </si>
  <si>
    <t>Joint Commitment on Frontier Responsibilities ('White House AI Accord')</t>
  </si>
  <si>
    <t>Voluntary pledge</t>
  </si>
  <si>
    <t>None — 'morally binding'</t>
  </si>
  <si>
    <t>Frontier model developers that signed (Google, Anthropic, Meta, OpenAI, xAI, Nvidia).</t>
  </si>
  <si>
    <t>Internal controls, internal oversight team, independent auditor, board committee. No penalties or deadlines.</t>
  </si>
  <si>
    <t>Signed 29 Sept 2026. Does not cover companies deploying AI.</t>
  </si>
  <si>
    <t>Frontier labs (indirectly their customers)</t>
  </si>
  <si>
    <t>NIST AI Risk Management Framework 1.0 &amp; Generative AI Profile</t>
  </si>
  <si>
    <t>Voluntary standard</t>
  </si>
  <si>
    <t>NIST</t>
  </si>
  <si>
    <t>Any AI system.</t>
  </si>
  <si>
    <t>Govern–Map–Measure–Manage risk framework. Used as an affirmative defense under Texas TRAIGA and referenced by Colorado and others.</t>
  </si>
  <si>
    <t>AI Action Plan directs revisions (removing DEI, misinformation and climate references).</t>
  </si>
  <si>
    <t>All — best-practice baseline</t>
  </si>
  <si>
    <t>Pending</t>
  </si>
  <si>
    <t>Great American AI Act (discussion draft)</t>
  </si>
  <si>
    <t>Pending bill</t>
  </si>
  <si>
    <t>Would preempt state laws on AI model DEVELOPMENT for 3 years; state laws on AI USE left intact.</t>
  </si>
  <si>
    <t>None yet.</t>
  </si>
  <si>
    <t>Bipartisan draft released June 2026; not formally introduced.</t>
  </si>
  <si>
    <t>Developers; watch item for deployers</t>
  </si>
  <si>
    <t>FRONTIER Act</t>
  </si>
  <si>
    <t>Commerce Dept (proposed)</t>
  </si>
  <si>
    <t>Large AI labs.</t>
  </si>
  <si>
    <t>Would require safety reports to Commerce and allow independent investigation.</t>
  </si>
  <si>
    <t>Bipartisan (Obernolte / Trahan); no floor vote as of Sept 2026.</t>
  </si>
  <si>
    <t>Frontier labs</t>
  </si>
  <si>
    <t>Ratepayer Protection Act</t>
  </si>
  <si>
    <t>Data-center energy costs.</t>
  </si>
  <si>
    <t>Would push states to make data centers pay full grid-upgrade costs.</t>
  </si>
  <si>
    <t>Passed House 417–3 (Sept 2026); stalled in Senate.</t>
  </si>
  <si>
    <t>Data-center operators, utilities</t>
  </si>
  <si>
    <t>State AI Law Matrix — states × regulated AI features</t>
  </si>
  <si>
    <t>Each cell: law · effective date · core obligations. '—' = no AI-specific law identified. Amber = contains a '(verify)' item. Federal laws apply in every state in addition.</t>
  </si>
  <si>
    <t>State</t>
  </si>
  <si>
    <t>Consequential decisions / ADMT (comprehensive AI laws)</t>
  </si>
  <si>
    <t>Employment &amp; hiring AI</t>
  </si>
  <si>
    <t>Privacy law — profiling &amp; automated-decision rights</t>
  </si>
  <si>
    <t>Health care &amp; insurance AI</t>
  </si>
  <si>
    <t>Chatbots, companions &amp; minors</t>
  </si>
  <si>
    <t>Synthetic content, deepfakes &amp; likeness</t>
  </si>
  <si>
    <t>Frontier model safety</t>
  </si>
  <si>
    <t>Biometrics, neural data &amp; algorithmic pricing</t>
  </si>
  <si>
    <t>Government use · other · pending / key dates</t>
  </si>
  <si>
    <t>California</t>
  </si>
  <si>
    <t>No single comprehensive AI act. CCPA automated-decisionmaking technology (ADMT) regulations (CPPA, finalized 2025): pre-use notice, opt-out and access rights where ADMT makes significant decisions; risk assessments; ADMT compliance from 1 Jan 2027.
2026: SB 813 creates an Independent Verification Organization (IVO) framework for AI systems; AB 1405 creates an AI auditor registry (registration from 2029).</t>
  </si>
  <si>
    <t>FEHA automated-decision system regulations (eff. 1 Oct 2025): ADS-driven discrimination is unlawful; anti-bias testing relevant to defenses; 4-year record retention; vendors can be agents.
SB 947 'No Robo Bosses Act of 2026' (signed Sept 2026; effective date verify): employers may not rely solely on an ADS for discipline or termination; human review before adverse action.
CCPA ADMT rules also cover employment decisions.</t>
  </si>
  <si>
    <t>CCPA/CPRA: right to opt out of and access information about ADMT; risk assessments for significant decisions (2027).
SB 923 (2026) expands deletion rights to data collected 'from or about' consumers.</t>
  </si>
  <si>
    <t>SB 1120 (2025): medical-necessity denials must be made by a licensed clinician, not AI alone.
AB 3030 (2025): disclaimer on generative-AI patient communications.
AB 489 (2025): AI may not imply it is a licensed health professional.
AB 1979 (2026): AI may not independently perform functions reserved to licensed clinicians.
Vetoed 2026: SB 903 (AI psychotherapy), AB 2575.</t>
  </si>
  <si>
    <t>SB 243 (eff. 1 Jan 2026): companion chatbots must disclose they are AI, run self-harm/988 protocols, protect minors, report annually; private right of action.
SB 1119 'Adam's Law' (signed 12 Sept 2026): stronger protections for minors — age verification, parental controls, in-app crisis support, audits.
AB 1709 (2026): bans addictive features for under-16s; AB 2246 replaces the Age-Appropriate Design Code.</t>
  </si>
  <si>
    <t>AI Transparency Act (SB 942) amended by SB 1000 (2026): latent disclosures in AI content; 1M-user threshold removed.
AB 2013 (eff. 1 Jan 2026): developers publish training-data summaries.
SB 1050 (2026): disclose AI 'synthetic performers' in ads; SB 1111: digital-replica likeness rights; AB 2025: disclose AI-altered real-estate images.
Election deepfake laws AB 2655/AB 2839 largely struck down in court (2025).</t>
  </si>
  <si>
    <t>SB 53 Transparency in Frontier AI Act (eff. 1 Jan 2026): developers training &gt;10^26 FLOP; 'large' developers (&gt;$500M revenue) publish a frontier AI framework and transparency reports, report critical safety incidents to Cal OES within 15 days; whistleblower protections; penalties up to $1M.</t>
  </si>
  <si>
    <t>CCPA treats neural data as sensitive personal information (SB 1223, 2024).
AB 1883 (workplace AI collecting neural data / recognizing emotion) sent to the Governor in 2026 — outcome (verify).</t>
  </si>
  <si>
    <t>Key dates: SB 53, SB 243, AB 2013 in force since 1 Jan 2026; CCPA ADMT obligations 1 Jan 2027.
2026 session: 22 privacy/AI bills signed, 3 vetoed.</t>
  </si>
  <si>
    <t>Colorado</t>
  </si>
  <si>
    <t>SB 26-189 (signed 14 May 2026; compliance 1 Jan 2027) repeals and replaces the 2024 Colorado AI Act (SB 24-205). Covers ADMT that materially influences consequential decisions in employment, housing, credit, insurance, health care, education and government services.
Developers: documentation to deployers (uses, risks, data categories), 3-year retention.
Deployers: notice before use; plain-language explanation within 30 days of an adverse outcome; right to correct data; human review/reconsideration where commercially reasonable.
Removed: risk-management program, impact assessments, duty of reasonable care.
AG-only enforcement; 60-day cure until 2030; no private right of action. AG rules due 1 Jan 2027. xAI v. Weiser challenge stayed.</t>
  </si>
  <si>
    <t>Employment is a covered consequential decision under SB 26-189 (notice, adverse-decision explanation, correction, human review).
HB 26-1210 also restricts algorithmic wage-setting (see pricing column).</t>
  </si>
  <si>
    <t>Colorado Privacy Act: opt-out of profiling for decisions with legal or similarly significant effects; data protection assessments; biological/neural data are sensitive data (HB 24-1058).</t>
  </si>
  <si>
    <t>SB 21-169: insurers may not use external consumer data or algorithms that unfairly discriminate; Division of Insurance governance and testing rules (life insurance first).
HB 26-1139 (2026): AI utilization review must rest on individual clinical history; periodic accuracy audits; no denial based solely on AI; no coverage of AI-delivered psychotherapy.</t>
  </si>
  <si>
    <t>HB 26-1263 (eff. 1 Jan 2027): companion chatbots must detect crisis indicators and redirect to emergency resources; periodic AI reminders.</t>
  </si>
  <si>
    <t>HB 24-1147: disclosure required on AI deepfakes of candidates near elections.</t>
  </si>
  <si>
    <t>HB 26-1210: bans surveillance (personal-data-based individual) pricing and certain algorithmic wage-setting; AG rulemaking; private right of action.</t>
  </si>
  <si>
    <t>Key date: 1 Jan 2027 — SB 26-189 and HB 26-1263 obligations begin.</t>
  </si>
  <si>
    <t>Connecticut</t>
  </si>
  <si>
    <t>SB 5 (2026) — CT AI Responsibility and Transparency Act (signed May 2026; phases in Oct 2026–Jan 2028). Most violations are unfair trade practices enforced by the AG.</t>
  </si>
  <si>
    <t>SB 5: from 1 Oct 2027 developers must inform deployers about employment decision tools, and employers must tell applicants/employees the tool's purpose, trade name, data sources and assessment methods; use of a tool is no defense to discrimination (anti-bias testing may be considered).
From 1 Oct 2026: mass-layoff/plant-closing notices must state whether layoffs relate to AI use.</t>
  </si>
  <si>
    <t>CT Data Privacy Act: profiling opt-out; data protection assessments. 2025 amendments add rights around profiling decisions and impact assessments (eff. 1 July 2026) (verify details).</t>
  </si>
  <si>
    <t>SB 5: companion chatbots must disclose they are not human (hourly for minors, every 3 hours for adults); for minors, must not encourage eating disorders, violence, romantic interaction or manipulative engagement.</t>
  </si>
  <si>
    <t>SB 5: providers with &gt;1M monthly users must embed tamper-resistant provenance data in AI-generated or materially altered content (from 1 Oct 2026).</t>
  </si>
  <si>
    <t>SB 5: large frontier developers must set up anonymous internal whistleblower channels by 1 Jan 2027.</t>
  </si>
  <si>
    <t>SB 4 (2026): bans customized prices for a specific consumer based on personal data; AG-only enforcement.</t>
  </si>
  <si>
    <t>Key dates: 1 Oct 2026 (layoff AI disclosure, provenance), 1 Jan 2027 (whistleblower), 1 Oct 2027 (employment tool notices).</t>
  </si>
  <si>
    <t>Illinois</t>
  </si>
  <si>
    <t>HB 3773, amending the Illinois Human Rights Act (eff. 1 Jan 2026): discriminatory AI use in recruitment, hiring, promotion, discipline or discharge is a civil-rights violation; zip codes may not be used as a proxy; employers must notify employees of AI use.
AI Video Interview Act (2020): notice, explanation and consent before AI analysis of video interviews; deletion on request; demographic reporting if AI alone decides who gets an in-person interview.</t>
  </si>
  <si>
    <t>WOPR Act, HB 1806 (Aug 2025): bans AI from providing therapy or making therapeutic decisions; licensed professionals may use AI for administrative support; penalties up to $10,000.
SB 3114 (2026): human review required for every algorithmic claim-downcoding decision.</t>
  </si>
  <si>
    <t>Digital replica and right-of-publicity amendments (2024) restrict unauthorized AI replicas of voice and likeness; civil remedy for sexual deepfakes (verify bill numbers).</t>
  </si>
  <si>
    <t>SB 315 AI Safety Measures Act (signed 6 July 2026; key obligations 1 Jan 2028): developers &gt;10^26 FLOP whose models reach Illinois users; large developers (&gt;$500M revenue) publish safety frameworks, undergo ANNUAL THIRD-PARTY AUDITS (first state), report critical incidents within 72 hours (24 if imminent risk of death or injury); transparency reports; whistleblower protections; AG civil penalties.</t>
  </si>
  <si>
    <t>Biometric Information Privacy Act (BIPA): written notice and consent before collecting face, voice or fingerprint data; retention policy; private right of action (2024 amendment limits damages to one recovery per person).</t>
  </si>
  <si>
    <t>Key dates: HB 3773 in force since 1 Jan 2026; SB 315 audits from 2028.</t>
  </si>
  <si>
    <t>New York (incl. NYC)</t>
  </si>
  <si>
    <t>NYC Local Law 144 (enforced since July 2023): automated employment decision tools need an independent bias audit within the past year, a published summary and 10 business days' notice to NYC candidates; DCWP fines $500–$1,500 per violation per day. A Dec 2025 State Comptroller audit found enforcement weak; DCWP committed to stronger enforcement.
State bill A 9581 (AI hiring impact reporting by large employers) passed both chambers in 2026, not yet signed (verify).</t>
  </si>
  <si>
    <t>No comprehensive state privacy law.
Algorithmic Pricing Disclosure Act (eff. Nov 2025): prices set by an algorithm using personal data must carry a disclosure.</t>
  </si>
  <si>
    <t>General Business Law Art. 47 (eff. 5 Nov 2025): companion chatbots must disclose they are AI and run self-harm/crisis protocols; AG penalties up to $15,000 per day.</t>
  </si>
  <si>
    <t>Synthetic-performer disclosure in ads (signed Dec 2025) (verify effective date); election deepfake disclosure law (2024).</t>
  </si>
  <si>
    <t>RAISE Act (signed Dec 2025, amended 2026; eff. 1 Jan 2027): large frontier developers (&gt;$500M revenue, &gt;10^26 FLOP) publish a frontier AI framework and transparency reports; report critical incidents within 72 hours to a new office in the Dept. of Financial Services; AG penalties up to $1M (first) and $3M (subsequent).</t>
  </si>
  <si>
    <t>NYC biometric identifier law (2021): commercial establishments must post signs and may not sell biometric data.</t>
  </si>
  <si>
    <t>LOADinG Act (2024): state agencies must inventory automated decision systems and keep human review.
Pending: data-center moratorium bill (S10642).</t>
  </si>
  <si>
    <t>Texas</t>
  </si>
  <si>
    <t>TRAIGA, HB 149 (eff. 1 Jan 2026): applies to anyone doing business in Texas. Bans developing or deploying AI with INTENT to manipulate people toward self-harm, harm or crime; unlawfully discriminate (disparate impact alone is not enough); produce CSAM or illegal deepfakes; infringe constitutional rights.
AG-only enforcement; 60-day cure; $10k–$12k (curable), $80k–$200k (uncurable), $2k–$40k per day (continuing). Affirmative defense for substantial compliance with NIST AI RMF plus internal testing. 36-month regulatory sandbox; AI Council.</t>
  </si>
  <si>
    <t>Only through TRAIGA's intent-based discrimination ban — no hiring-specific AI law.</t>
  </si>
  <si>
    <t>Texas Data Privacy and Security Act (2024): profiling opt-out; data protection assessments.</t>
  </si>
  <si>
    <t>TRAIGA: health-care providers must disclose AI use in patient care.
SB 1188 (2025): practitioners using AI for diagnosis must review records and disclose (verify details).</t>
  </si>
  <si>
    <t>Election deepfake crime (2019); sexual deepfake offenses expanded 2023/2025.</t>
  </si>
  <si>
    <t>Capture or Use of Biometric Identifiers Act (CUBI): consent before capturing biometrics; AG enforcement (Meta $1.4B settlement 2024; Google $1.375B 2025).</t>
  </si>
  <si>
    <t>TRAIGA government rules: agencies must disclose AI interactions, may not use social scoring, need consent for biometric identification.</t>
  </si>
  <si>
    <t>Utah</t>
  </si>
  <si>
    <t>Artificial Intelligence Policy Act (2024; amended 2025 by SB 226 and SB 332; sunset extended to July 2027): disclose generative AI when a consumer clearly asks; regulated occupations must proactively disclose in 'high-risk' interactions. Office of AI Policy runs a learning lab with regulatory mitigation agreements.</t>
  </si>
  <si>
    <t>Utah Consumer Privacy Act: no profiling opt-out.</t>
  </si>
  <si>
    <t>HB 452 (May 2025): mental-health chatbots must disclose AI at access, every 7 days and on request; no sale of individual health data or targeted ads; fines up to $2,500.
SB 319 (2026): public reporting of prior-authorization statistics and AI use; independent medical judgment for adverse determinations.</t>
  </si>
  <si>
    <t>HB 452 mental-health chatbot rules (see health column).</t>
  </si>
  <si>
    <t>SB 271 (2025): bans unauthorized AI simulations of a person's likeness or voice in commerce and fundraising, and tools primarily designed for that purpose.</t>
  </si>
  <si>
    <t>Key date: AI Policy Act sunset July 2027 unless extended.</t>
  </si>
  <si>
    <t>Maryland</t>
  </si>
  <si>
    <t>HB 1202 (2020): applicant consent required before facial recognition is used in job interviews.</t>
  </si>
  <si>
    <t>Maryland Online Data Privacy Act (eff. 1 Oct 2025): strict data-minimization; ban on selling sensitive data; profiling opt-out; assessments.</t>
  </si>
  <si>
    <t>HB 895 Protection From Predatory Pricing Act (eff. 1 Oct 2026): bans using personal data to set higher individualized prices; AG-only enforcement.</t>
  </si>
  <si>
    <t>State agencies must inventory high-risk AI (2024 law).</t>
  </si>
  <si>
    <t>New Jersey</t>
  </si>
  <si>
    <t>No AI-specific hiring statute enacted. NJ Division on Civil Rights guidance (Jan 2025): the Law Against Discrimination covers algorithmic discrimination, including disparate impact, and employers are liable for vendor tools.
Pending 2026 bills on automated employment decision tools (e.g., S4075, A2726).</t>
  </si>
  <si>
    <t>NJ Data Privacy Act (eff. Jan 2025): profiling opt-out; data protection assessments; Division of Consumer Affairs rules.</t>
  </si>
  <si>
    <t>Pending chatbot / frontier proposals in 2026.</t>
  </si>
  <si>
    <t>Deceptive deepfake law (Apr 2025): civil and criminal penalties for harmful AI-generated media.</t>
  </si>
  <si>
    <t>Virginia</t>
  </si>
  <si>
    <t>HB 2094 high-risk AI act vetoed (2025).
SB 384 / HB 797 (signed 13 Apr 2026): directs the Joint Commission on Technology and Science to study an Independent Verification Organization framework for AI.</t>
  </si>
  <si>
    <t>Virginia Consumer Data Protection Act: profiling opt-out; data protection assessments.</t>
  </si>
  <si>
    <t>Executive Order 22 (Sept 2026): data-center accountability framework and a new state AI task force.</t>
  </si>
  <si>
    <t>Washington</t>
  </si>
  <si>
    <t>No comprehensive privacy law. My Health My Data Act (2024): consent for consumer health data (incl. biometric); private right of action.</t>
  </si>
  <si>
    <t>SB 5395: only licensed professionals may deny care; AI cannot be the sole basis to deny, delay or modify care.</t>
  </si>
  <si>
    <t>HB 2225 (eff. 1 Jan 2027): periodic AI-interaction reminders, protections for minors, parental controls.</t>
  </si>
  <si>
    <t>Election deepfake disclosure (2023); forged digital likeness offenses (2025) (verify).</t>
  </si>
  <si>
    <t>Biometric identifier law (RCW 19.375): notice and consent for commercial biometric enrollment.</t>
  </si>
  <si>
    <t>State AI Task Force reports to the Legislature.</t>
  </si>
  <si>
    <t>Tennessee</t>
  </si>
  <si>
    <t>Tennessee Information Protection Act (eff. 1 July 2025): profiling opt-out; NIST Privacy Framework affirmative defense.</t>
  </si>
  <si>
    <t>SB 1580 (eff. 1 July 2026): AI may not be advertised as a licensed mental-health professional; $5,000 per violation.</t>
  </si>
  <si>
    <t>SB 1580 (see health column).</t>
  </si>
  <si>
    <t>ELVIS Act (eff. 1 July 2024): protects voice and likeness from unauthorized AI cloning; liability for tools whose primary purpose is unauthorized replicas.</t>
  </si>
  <si>
    <t>Minnesota</t>
  </si>
  <si>
    <t>Minnesota Consumer Data Privacy Act (eff. 31 July 2025): right to question a profiling result, learn the reasons, review the data and have the decision re-evaluated; data inventory.</t>
  </si>
  <si>
    <t>Election and non-consensual sexual deepfake laws (2023).</t>
  </si>
  <si>
    <t>Oregon</t>
  </si>
  <si>
    <t>Oregon Consumer Privacy Act (2024): profiling opt-out; assessments.</t>
  </si>
  <si>
    <t>HB 2748 (2025): AI may not use the title 'nurse.'</t>
  </si>
  <si>
    <t>SB 1546 (eff. 1 Jan 2027): suicide/self-harm detection with 988 referral for companion chatbots.</t>
  </si>
  <si>
    <t>SB 1571 (2024): disclosure of AI-generated election media.</t>
  </si>
  <si>
    <t>Georgia</t>
  </si>
  <si>
    <t>SB 444 (2026): insurance coverage decisions cannot be based solely on AI.</t>
  </si>
  <si>
    <t>SB 540 (eff. 1 July 2027): conversational AI safety framework.</t>
  </si>
  <si>
    <t>Iowa</t>
  </si>
  <si>
    <t>Iowa Consumer Data Protection Act (2025): no profiling opt-out.</t>
  </si>
  <si>
    <t>HF 2635 (2026): AI may assist prior-authorization review but cannot be the exclusive basis to deny, delay or downgrade.</t>
  </si>
  <si>
    <t>SF 2417 (eff. 1 July 2027): conversational AI safety requirements.</t>
  </si>
  <si>
    <t>Alabama</t>
  </si>
  <si>
    <t>SB 63 (2026): no coverage decisions solely by AI; disclose AI use in review; decisions must reflect the patient's own clinical circumstances.</t>
  </si>
  <si>
    <t>Data-center large-load contract review by the Public Service Commission (2026).</t>
  </si>
  <si>
    <t>Nebraska</t>
  </si>
  <si>
    <t>Nebraska Data Privacy Act (2025): profiling opt-out.</t>
  </si>
  <si>
    <t>LB 525 (eff. 1 July 2027): session-start disclosure, periodic reminders, minor protections, parental notice, crisis referral.</t>
  </si>
  <si>
    <t>LB 771 (2026): limits AI-enabled dynamic pricing.</t>
  </si>
  <si>
    <t>Rhode Island</t>
  </si>
  <si>
    <t>RI Data Transparency and Privacy Protection Act (eff. 1 Jan 2026): profiling opt-out.</t>
  </si>
  <si>
    <t>S2197 / H7350 (2026; eff. 22 June 2026 and 1 Jan 2027): companion chatbot safety requirements.</t>
  </si>
  <si>
    <t>Idaho</t>
  </si>
  <si>
    <t>SB 1297 (eff. 1 July 2027): disclosure, periodic reminders, minor safety features, parental notification, crisis resources.</t>
  </si>
  <si>
    <t>H0895 (2026): limits data-center water purchases for cooling.</t>
  </si>
  <si>
    <t>Hawaii</t>
  </si>
  <si>
    <t>SB 3001 (eff. 14 July 2026): crisis-indicator detection and redirection for chatbots.</t>
  </si>
  <si>
    <t>Oklahoma</t>
  </si>
  <si>
    <t>SB 1521 (2026): companion chatbot law.</t>
  </si>
  <si>
    <t>HB 2992 (2026): Data Center Customer Ratepayer Protection Act — large-load tariffs.</t>
  </si>
  <si>
    <t>Vermont</t>
  </si>
  <si>
    <t>2026 law establishing protections for neural data (bill number to verify).</t>
  </si>
  <si>
    <t>Montana</t>
  </si>
  <si>
    <t>Montana Consumer Data Privacy Act: profiling opt-out.</t>
  </si>
  <si>
    <t>Right to Compute Act, SB 212 (2025): limits state restrictions on private computational resources; AI-controlled critical infrastructure needs a risk-management policy.</t>
  </si>
  <si>
    <t>Florida</t>
  </si>
  <si>
    <t>Florida Digital Bill of Rights: applies only to very large companies.</t>
  </si>
  <si>
    <t>SB 482 'AI Bill of Rights' (chatbot consent for minors, AI disclosure, likeness rules) passed the Senate 35–2 but died in the House (2026); possible special session.</t>
  </si>
  <si>
    <t>HB 1161 'Brooke's Law' (2025): platforms must remove non-consensual altered sexual depictions within 48 hours (verify).</t>
  </si>
  <si>
    <t>Massachusetts</t>
  </si>
  <si>
    <t>No AI statute. Attorney General advisory (Apr 2024): existing consumer protection, anti-discrimination and data security laws apply to AI developers and users.</t>
  </si>
  <si>
    <t>Frontier and chatbot proposals under consideration (2026).</t>
  </si>
  <si>
    <t>Frontier proposals pending (2026).</t>
  </si>
  <si>
    <t>Global AI Law Matrix — jurisdictions × regulated AI features</t>
  </si>
  <si>
    <t>Same features as the State Matrix. '—' = no AI-specific rule identified. Amber = contains a '(verify)' item. Detail for each jurisdiction is on its own tab.</t>
  </si>
  <si>
    <t>Jurisdiction</t>
  </si>
  <si>
    <t>Comprehensive AI law / consequential decisions</t>
  </si>
  <si>
    <t>Privacy law — automated-decision rights</t>
  </si>
  <si>
    <t>Frontier / general-purpose model rules</t>
  </si>
  <si>
    <t>Biometrics &amp; surveillance</t>
  </si>
  <si>
    <t>Regulators · key dates · pending</t>
  </si>
  <si>
    <t>European Union</t>
  </si>
  <si>
    <t>EU AI Act (in force Aug 2024): risk-based, binding; fines up to €35M/7%. High-risk duties deferred by Digital Omnibus to 2 Dec 2027 (Annex III) and 2 Aug 2028 (Annex I).</t>
  </si>
  <si>
    <t>Hiring, promotion, task allocation, monitoring and termination AI is HIGH-RISK (Annex III) from 2 Dec 2027: deployer human oversight, logging, worker notice. Platform Work Directive (Dec 2026) adds algorithmic-management rights.</t>
  </si>
  <si>
    <t>GDPR Art. 22: right not to be subject to solely automated significant decisions; human intervention, contestation, explanation of logic (CJEU 2023, 2025).</t>
  </si>
  <si>
    <t>Life and health insurance pricing and access to essential health services are high-risk; AI medical devices under MDR/IVDR (Annex I, Aug 2028).</t>
  </si>
  <si>
    <t>Art. 50: chatbots must disclose AI (from 2 Aug 2026). DSA protections for minors on platforms.</t>
  </si>
  <si>
    <t>Art. 50 machine-readable marking and deepfake disclosure (Aug 2026); new ban on AI-generated CSAM and non-consensual intimate imagery (Omnibus 2026).</t>
  </si>
  <si>
    <t>GPAI obligations since 2 Aug 2025 (documentation, copyright policy, training-data summary); systemic-risk models: evaluations, incident reporting, cybersecurity. Code of Practice July 2025.</t>
  </si>
  <si>
    <t>Bans (since Feb 2025): untargeted facial-image scraping, emotion recognition at work and school, social scoring, most real-time remote biometric ID by police.</t>
  </si>
  <si>
    <t>AI Office + national authorities. Product Liability Directive covers AI software from 9 Dec 2026.</t>
  </si>
  <si>
    <t>United Kingdom</t>
  </si>
  <si>
    <t>No AI Act; principles applied by sector regulators. AI Growth Lab sandboxes (June 2026).</t>
  </si>
  <si>
    <t>Equality Act 2010 liability for discriminatory AI; DUAA safeguards apply to automated hiring decisions.</t>
  </si>
  <si>
    <t>UK GDPR Arts. 22A–D (DUAA s.80, from 5 Feb 2026): automated decisions allowed on any lawful basis with safeguards — information, representations, human intervention, contestation.</t>
  </si>
  <si>
    <t>MHRA rules for AI as a medical device; FCA Consumer Duty for insurance.</t>
  </si>
  <si>
    <t>Online Safety Act: Ofcom child-safety duties cover AI chatbots in scope.</t>
  </si>
  <si>
    <t>Criminal offences for sharing and creating sexual deepfakes.</t>
  </si>
  <si>
    <t>AI Security Institute (voluntary pre-deployment testing); no binding frontier rules.</t>
  </si>
  <si>
    <t>ICO guidance on biometric recognition; UK GDPR special-category rules.</t>
  </si>
  <si>
    <t>ICO AI code of practice duty in force May 2026 (code pending). Copyright &amp; AI policy pending.</t>
  </si>
  <si>
    <t>Canada</t>
  </si>
  <si>
    <t>No federal AI act (AIDA died 2025). Bill C-36 (tabled June 2026) would add automated-decision transparency.</t>
  </si>
  <si>
    <t>Ontario: disclose AI screening in job postings (from 1 Jan 2026). Human-rights codes apply.</t>
  </si>
  <si>
    <t>Quebec Law 25 s.12.1: notice of exclusively automated decisions, reasons, correction and human review. PIPEDA principles.</t>
  </si>
  <si>
    <t>Online Harms Act died 2025; no chatbot-specific law.</t>
  </si>
  <si>
    <t>Criminal Code covers non-consensual intimate images; no AI-labelling law.</t>
  </si>
  <si>
    <t>Voluntary Code of Conduct on Advanced Generative AI (2023); Canadian AI Safety Institute.</t>
  </si>
  <si>
    <t>OPC guidance on biometrics; Quebec biometric database disclosure rules.</t>
  </si>
  <si>
    <t>Federal Directive on Automated Decision-Making for government.</t>
  </si>
  <si>
    <t>Mexico</t>
  </si>
  <si>
    <t>No general AI law; 80+ pending initiatives; constitutional reform needed first.</t>
  </si>
  <si>
    <t>Federal Labour Law platform-work reform: algorithmic transparency for platform workers.</t>
  </si>
  <si>
    <t>New LFPDPPP (Mar 2025): privacy rights incl. automated processing (verify scope); enforcement moved from INAI to the executive.</t>
  </si>
  <si>
    <t>Presidential forums on AI and minors (Aug–Sept 2026) — initiative expected.</t>
  </si>
  <si>
    <t>Copyright reform (May 2026): consent to AI-clone a performer's voice or image. State 'Ley Olimpia' deepfake offences.</t>
  </si>
  <si>
    <t>Watch: Senate AI commission; USMCA review.</t>
  </si>
  <si>
    <t>Brazil</t>
  </si>
  <si>
    <t>PL 2338/2023 passed Senate Dec 2024; stalled in Chamber of Deputies.</t>
  </si>
  <si>
    <t>LGPD Art. 20 review right covers automated hiring decisions; no hiring-specific AI law.</t>
  </si>
  <si>
    <t>LGPD Art. 20: right to review solely automated decisions and receive criteria information.</t>
  </si>
  <si>
    <t>ECA Digital (Lei 15.211/2025, in force Mar 2026): child safety by default, age verification, parental controls.</t>
  </si>
  <si>
    <t>TSE Res. 23.755/2026: AI labels on campaign content; electoral deepfakes banned; 72-hour blackout before votes.</t>
  </si>
  <si>
    <t>Proposed in PL 2338 (general-purpose model duties).</t>
  </si>
  <si>
    <t>LGPD sensitive-data rules for biometrics.</t>
  </si>
  <si>
    <t>ANPD is the lead digital regulator. Elections 4 Oct 2026 (runoff 25 Oct).</t>
  </si>
  <si>
    <t>India</t>
  </si>
  <si>
    <t>No AI law; voluntary India AI Governance Guidelines (Nov 2025).</t>
  </si>
  <si>
    <t>No AI-specific employment rules.</t>
  </si>
  <si>
    <t>DPDP Act + Rules (Nov 2025; fully applicable 13 May 2027): consent, purpose limits, DPIAs and algorithmic due diligence for Significant Data Fiduciaries; no explicit automated-decision right.</t>
  </si>
  <si>
    <t>ICMR ethical guidelines for AI in health (2023).</t>
  </si>
  <si>
    <t>DPDP: verifiable parental consent; no tracking or targeted ads to children.</t>
  </si>
  <si>
    <t>IT Rules amendment (in force 20 Feb 2026): mandatory labels and provenance metadata for AI content; 3-hour takedowns; detection for large platforms.</t>
  </si>
  <si>
    <t>DPDP covers biometric data as personal data.</t>
  </si>
  <si>
    <t>RBI FREE-AI (Aug 2025) for financial sector; Data Protection Board.</t>
  </si>
  <si>
    <t>UAE</t>
  </si>
  <si>
    <t>No AI statute. UAE AI Charter (2024); new Federal Authority for AI and Data (June 2026).</t>
  </si>
  <si>
    <t>PDPL: right to object to automated processing with legal effects. DIFC Regulation 10 for autonomous systems.</t>
  </si>
  <si>
    <t>Cybercrime law penalizes fabricated content and rumours, including deepfakes.</t>
  </si>
  <si>
    <t>CBUAE AI/ML guidance (Feb 2026): annual bias testing, human review, kill switch.</t>
  </si>
  <si>
    <t>Saudi Arabia</t>
  </si>
  <si>
    <t>No AI statute. SDAIA ethics principles and National AI Risk Management Framework (July 2026).</t>
  </si>
  <si>
    <t>PDPL (enforced Sept 2024): data-subject rights, transfer limits, DPIAs; fines up to SAR 5M.</t>
  </si>
  <si>
    <t>SDAIA deepfake guidelines (non-binding); anti-cybercrime law.</t>
  </si>
  <si>
    <t>Generative AI guidelines (non-binding).</t>
  </si>
  <si>
    <t>Copyright TDM exception from 12 Aug 2026; draft Global AI Hub Law.</t>
  </si>
  <si>
    <t>Qatar</t>
  </si>
  <si>
    <t>No AI statute; MCIT ethical AI guidelines (2025).</t>
  </si>
  <si>
    <t>PDPPL (Law 13/2016).</t>
  </si>
  <si>
    <t>QCB AI Guidelines (Sept 2024) — binding for licensed financial institutions.</t>
  </si>
  <si>
    <t>Bahrain</t>
  </si>
  <si>
    <t>38-article AI law proposed (criminal penalties); not enacted as of July 2026.</t>
  </si>
  <si>
    <t>PDPL (Law 30/2018).</t>
  </si>
  <si>
    <t>Government AI policy mandatory for public bodies (May 2025).</t>
  </si>
  <si>
    <t>Australia</t>
  </si>
  <si>
    <t>No AI act; National AI Plan (Dec 2025) relies on existing law; Office of AI developing standards (July 2026).</t>
  </si>
  <si>
    <t>Fair Work and anti-discrimination laws apply; no AI-specific hiring law.</t>
  </si>
  <si>
    <t>Privacy Act: disclose automated decisions in privacy policies from 10 Dec 2026; statutory privacy tort (June 2025).</t>
  </si>
  <si>
    <t>TGA regulates AI as a medical device.</t>
  </si>
  <si>
    <t>Under-16 social-media minimum age (Dec 2025); eSafety codes cover AI companions.</t>
  </si>
  <si>
    <t>Deepfake Sexual Material Act 2024 (criminal).</t>
  </si>
  <si>
    <t>AI Safety Institute (testing; non-binding).</t>
  </si>
  <si>
    <t>OAIC determinations against facial-recognition misuse (e.g., Bunnings 2024).</t>
  </si>
  <si>
    <t>OAIC, ACCC, ASIC, eSafety share oversight. TDM exception ruled out (Oct 2025).</t>
  </si>
  <si>
    <t>Singapore</t>
  </si>
  <si>
    <t>No AI act; voluntary Model AI Governance Frameworks incl. Agentic AI (Jan 2026); AI Verify.</t>
  </si>
  <si>
    <t>Workplace Fairness Act 2025 (commencement 2026–27, verify) covers AI-assisted decisions.</t>
  </si>
  <si>
    <t>PDPA + Advisory Guidelines on AI recommendation and decision systems (2024).</t>
  </si>
  <si>
    <t>MOH AI in Healthcare Guidelines; HSA medical-device rules.</t>
  </si>
  <si>
    <t>Election deepfake ban (2024); Online Safety (Relief and Accountability) Act 2025.</t>
  </si>
  <si>
    <t>MAS AI Risk Management Guidelines (consulted 2025–26). Copyright exception allows AI training.</t>
  </si>
  <si>
    <t>European Union — AI Governance Laws</t>
  </si>
  <si>
    <t>The EU has the world's only horizontal AI statute (AI Act), layered on GDPR and product, platform and consumer law. Applies to non-EU companies whose AI is placed on the EU market or whose outputs are used in the EU.</t>
  </si>
  <si>
    <t>Regulator / Enforcer</t>
  </si>
  <si>
    <t>2025–26 developments &amp; key dates</t>
  </si>
  <si>
    <t>Comprehensive AI law</t>
  </si>
  <si>
    <t>EU AI Act — Regulation (EU) 2024/1689</t>
  </si>
  <si>
    <t>Binding regulation</t>
  </si>
  <si>
    <t>EU AI Office (GPAI); national market-surveillance authorities</t>
  </si>
  <si>
    <t>Any AI system placed on the EU market or whose output is used in the EU — providers, deployers, importers, distributors.</t>
  </si>
  <si>
    <t>Risk tiers: (1) prohibited practices; (2) high-risk systems (Annex III: employment, credit scoring, life/health insurance pricing, education, essential services, biometrics, law enforcement) — risk management, data governance, technical documentation, logging, human oversight, accuracy, conformity assessment, registration; deployers must follow instructions, assign human oversight, keep logs, inform workers and affected people, and (public bodies, credit, insurance) run fundamental-rights impact assessments; (3) transparency duties; (4) general-purpose AI model duties. Fines up to €35M or 7% of global turnover.</t>
  </si>
  <si>
    <t>Prohibitions and AI literacy since 2 Feb 2025. GPAI model obligations since 2 Aug 2025; Commission enforcement powers over GPAI from 2 Aug 2026. Article 50 transparency since 2 Aug 2026.</t>
  </si>
  <si>
    <t>Every company selling or using AI in the EU</t>
  </si>
  <si>
    <t>Digital Omnibus on AI — Regulation (EU) 2026/1744</t>
  </si>
  <si>
    <t>Binding amending regulation</t>
  </si>
  <si>
    <t>European Commission</t>
  </si>
  <si>
    <t>Amends AI Act timelines and scope.</t>
  </si>
  <si>
    <t>High-risk obligations deferred: Annex III stand-alone systems to 2 Dec 2027; Annex I product-embedded systems to 2 Aug 2028. New prohibition on AI generating CSAM and non-consensual intimate imagery. Watermarking grace period to 2 Dec 2026 for systems already on the market. Lighter documentation and penalties for SMEs and small mid-caps; AI-literacy duty softened to 'supporting' staff competence.</t>
  </si>
  <si>
    <t>Published OJ 24 July 2026; in force 27 July 2026.</t>
  </si>
  <si>
    <t>High-risk AI providers and deployers</t>
  </si>
  <si>
    <t>Transparency / synthetic content</t>
  </si>
  <si>
    <t>AI Act Article 50 &amp; GPAI Code of Practice</t>
  </si>
  <si>
    <t>Binding (Art. 50); voluntary code</t>
  </si>
  <si>
    <t>AI Office; national authorities</t>
  </si>
  <si>
    <t>Chatbots, emotion recognition, biometric categorization, and AI-generated or manipulated content (deepfakes).</t>
  </si>
  <si>
    <t>Tell people they are interacting with AI; machine-readable marking of AI-generated content; disclose deepfakes and AI-generated public-interest text. GPAI providers: technical documentation, copyright policy, training-data summary; systemic-risk models add evaluations, incident reporting, cybersecurity.</t>
  </si>
  <si>
    <t>Art. 50 applies from 2 Aug 2026. Code of Practice published July 2025 and signed by most major labs.</t>
  </si>
  <si>
    <t>Chatbot operators, content platforms, model developers</t>
  </si>
  <si>
    <t>Privacy / automated decisions</t>
  </si>
  <si>
    <t>GDPR — Art. 22 and Arts. 13–15, 35</t>
  </si>
  <si>
    <t>National data protection authorities; EDPB</t>
  </si>
  <si>
    <t>Solely automated decisions with legal or similarly significant effects; any AI processing personal data, including training.</t>
  </si>
  <si>
    <t>Lawful basis for training and use; right not to be subject to solely automated decisions (with exceptions) plus human intervention, contestation and meaningful information about the logic; DPIAs for high-risk processing; data minimization. Fines up to €20M or 4%.</t>
  </si>
  <si>
    <t>CJEU SCHUFA (2023): credit scores that strongly drive decisions can be 'automated decisions'. CJEU Dun &amp; Bradstreet Austria (Feb 2025): right to an intelligible explanation of the logic. Italy fined OpenAI €15M (Dec 2024). Commission's Nov 2025 Digital Omnibus proposes GDPR changes for AI training (legislative status: verify).</t>
  </si>
  <si>
    <t>All controllers using AI on personal data</t>
  </si>
  <si>
    <t>Platform Work Directive — (EU) 2024/2831</t>
  </si>
  <si>
    <t>Binding directive (national transposition)</t>
  </si>
  <si>
    <t>National labour authorities</t>
  </si>
  <si>
    <t>Algorithmic management of platform workers (allocation, pay, deactivation).</t>
  </si>
  <si>
    <t>Transparency about automated monitoring and decision systems; human review of significant decisions; ban on processing emotional state or private conversations; consultation of worker representatives.</t>
  </si>
  <si>
    <t>Member-state transposition deadline 2 Dec 2026.</t>
  </si>
  <si>
    <t>Gig and platform companies</t>
  </si>
  <si>
    <t>Liability</t>
  </si>
  <si>
    <t>Product Liability Directive — (EU) 2024/2853</t>
  </si>
  <si>
    <t>Binding directive</t>
  </si>
  <si>
    <t>National courts</t>
  </si>
  <si>
    <t>Software, including AI systems, treated as a 'product'.</t>
  </si>
  <si>
    <t>No-fault liability for defective AI software causing harm; disclosure-of-evidence rules and presumptions ease claimants' burden; updates and learning after release count.</t>
  </si>
  <si>
    <t>Applies to products placed on the market after 9 Dec 2026. The separate AI Liability Directive was withdrawn (2025).</t>
  </si>
  <si>
    <t>AI developers and integrators</t>
  </si>
  <si>
    <t>Platforms / minors</t>
  </si>
  <si>
    <t>Digital Services Act (DSA)</t>
  </si>
  <si>
    <t>European Commission (very large platforms); national digital services coordinators</t>
  </si>
  <si>
    <t>Recommender systems, AI-generated content and generative AI on online platforms.</t>
  </si>
  <si>
    <t>Recommender transparency and a non-profiling option for very large platforms; systemic-risk assessments (including generative AI); protections for minors; deepfake labelling as a risk mitigation.</t>
  </si>
  <si>
    <t>Commission guidelines on protecting minors (July 2025); ongoing proceedings against major platforms.</t>
  </si>
  <si>
    <t>Online platforms, search engines</t>
  </si>
  <si>
    <t>Data</t>
  </si>
  <si>
    <t>Data Act — (EU) 2023/2854</t>
  </si>
  <si>
    <t>National authorities</t>
  </si>
  <si>
    <t>Data from connected products and cloud switching relevant to AI training and services.</t>
  </si>
  <si>
    <t>User access to and sharing of product data; fair contract terms; cloud-switching rights.</t>
  </si>
  <si>
    <t>Applies from 12 Sept 2025.</t>
  </si>
  <si>
    <t>IoT, cloud and data-driven AI businesses</t>
  </si>
  <si>
    <t>Financial / sectoral</t>
  </si>
  <si>
    <t>DORA, Consumer Credit Directive 2023, MDR/IVDR</t>
  </si>
  <si>
    <t>Binding sectoral law</t>
  </si>
  <si>
    <t>Financial and medical-device regulators</t>
  </si>
  <si>
    <t>AI in financial operations, credit decisions and medical devices.</t>
  </si>
  <si>
    <t>ICT risk and third-party oversight (DORA, since Jan 2025); right to human assessment and explanation in automated creditworthiness decisions (CCD 2023, applies Nov 2026); conformity assessment for AI medical devices.</t>
  </si>
  <si>
    <t>CCD transposition by 20 Nov 2025, application 20 Nov 2026.</t>
  </si>
  <si>
    <t>Banks, lenders, insurers, med-tech</t>
  </si>
  <si>
    <t>United Kingdom — AI Governance Laws</t>
  </si>
  <si>
    <t>No UK AI Act. The UK regulates AI through existing law and sector regulators under a 'pro-innovation' approach. UK companies serving EU markets are also caught by the EU AI Act.</t>
  </si>
  <si>
    <t>No AI Act — principles-based approach</t>
  </si>
  <si>
    <t>Sector regulators (ICO, FCA, CMA, Ofcom, MHRA, EHRC)</t>
  </si>
  <si>
    <t>All AI, via each regulator's existing remit.</t>
  </si>
  <si>
    <t>Five cross-sector principles: safety, transparency, fairness, accountability, contestability — applied by regulators, not a statute.</t>
  </si>
  <si>
    <t>No AI bill introduced as of Oct 2026. AI Growth Lab sandboxes launched 8 June 2026. AI Safety Institute renamed AI Security Institute (2025).</t>
  </si>
  <si>
    <t>All</t>
  </si>
  <si>
    <t>UK GDPR as amended by Data (Use and Access) Act 2025, s.80 (Arts. 22A–22D)</t>
  </si>
  <si>
    <t>Binding statute</t>
  </si>
  <si>
    <t>Information Commissioner's Office (ICO)</t>
  </si>
  <si>
    <t>Significant decisions based solely on automated processing.</t>
  </si>
  <si>
    <t>Automated decisions now permitted on any lawful basis (including legitimate interests) IF safeguards: tell people about the decision, let them make representations, get genuine human intervention and contest it. Stricter rules remain for special-category data.</t>
  </si>
  <si>
    <t>s.80 in force 5 Feb 2026. ICO draft ADM guidance consulted Mar–May 2026; statutory duty to produce an AI code of practice in force 12 May 2026 (code not yet published).</t>
  </si>
  <si>
    <t>Employers, lenders, insurers, any ADM user</t>
  </si>
  <si>
    <t>Employment / discrimination</t>
  </si>
  <si>
    <t>Equality Act 2010</t>
  </si>
  <si>
    <t>Employment tribunals; EHRC</t>
  </si>
  <si>
    <t>AI in recruitment, performance, pay or dismissal causing direct or indirect discrimination.</t>
  </si>
  <si>
    <t>Employer liable for discriminatory outcomes of AI tools, including vendors'; reasonable adjustments for disabled candidates.</t>
  </si>
  <si>
    <t>Employment Rights Act 2025 adds wider worker protections (no AI-specific rule).</t>
  </si>
  <si>
    <t>Employers, recruiters</t>
  </si>
  <si>
    <t>Online safety / minors</t>
  </si>
  <si>
    <t>Online Safety Act 2023</t>
  </si>
  <si>
    <t>Ofcom</t>
  </si>
  <si>
    <t>AI chatbots and generative AI in user-to-user or search services; AI-generated illegal content.</t>
  </si>
  <si>
    <t>Illegal-content and child-safety duties, risk assessments, age assurance for harmful content.</t>
  </si>
  <si>
    <t>Ofcom enforcing since 2025 and investigating AI chatbots (2026).</t>
  </si>
  <si>
    <t>Platforms, chatbot providers</t>
  </si>
  <si>
    <t>Deepfakes</t>
  </si>
  <si>
    <t>Sexual deepfake offences (Online Safety Act 2023; Data (Use and Access) Act 2025)</t>
  </si>
  <si>
    <t>Police / CPS</t>
  </si>
  <si>
    <t>Sharing — and creating — sexually explicit deepfakes without consent.</t>
  </si>
  <si>
    <t>Criminal liability for sharing (OSA) and for creating (DUAA) intimate deepfakes (verify commencement).</t>
  </si>
  <si>
    <t>Creation offence added 2025.</t>
  </si>
  <si>
    <t>Image-generation services, platforms</t>
  </si>
  <si>
    <t>Financial services</t>
  </si>
  <si>
    <t>FCA Consumer Duty &amp; SM&amp;CR</t>
  </si>
  <si>
    <t>FCA; PRA</t>
  </si>
  <si>
    <t>AI in financial products, advice, pricing, credit and fraud.</t>
  </si>
  <si>
    <t>Good outcomes for retail customers; fair value; senior-manager accountability for AI; model risk (PRA SS1/23 for banks).</t>
  </si>
  <si>
    <t>FCA AI Live Testing service (2025–26); no AI-specific rules planned.</t>
  </si>
  <si>
    <t>Banks, insurers, fintechs</t>
  </si>
  <si>
    <t>Competition / consumer</t>
  </si>
  <si>
    <t>Digital Markets, Competition and Consumers Act 2024</t>
  </si>
  <si>
    <t>CMA</t>
  </si>
  <si>
    <t>Large tech firms' AI ecosystems; misleading AI claims to consumers.</t>
  </si>
  <si>
    <t>Strategic-market-status conduct requirements; direct CMA fines for consumer-law breaches (fake reviews, drip pricing, misleading claims).</t>
  </si>
  <si>
    <t>CMA consumer enforcement powers active since Apr 2025.</t>
  </si>
  <si>
    <t>Big tech; consumer-facing AI</t>
  </si>
  <si>
    <t>Copyright</t>
  </si>
  <si>
    <t>Copyright, Designs and Patents Act 1988</t>
  </si>
  <si>
    <t>Courts; IPO</t>
  </si>
  <si>
    <t>Training on copyrighted works; computer-generated works.</t>
  </si>
  <si>
    <t>Only a non-commercial TDM exception; commercial training needs licences.</t>
  </si>
  <si>
    <t>Government consultation on an opt-out TDM exception (Dec 2024); DUAA requires reports on AI and copyright — final policy pending (verify).</t>
  </si>
  <si>
    <t>Model developers, media</t>
  </si>
  <si>
    <t>Canada — AI Governance Laws</t>
  </si>
  <si>
    <t>No federal AI statute (AIDA died in Jan 2025). AI is governed by privacy law, provincial rules and human-rights law; a new federal privacy bill with automated-decision transparency is before Parliament.</t>
  </si>
  <si>
    <t>Artificial Intelligence and Data Act (AIDA, Bill C-27)</t>
  </si>
  <si>
    <t>Died on order paper</t>
  </si>
  <si>
    <t>None — no federal AI act in force.</t>
  </si>
  <si>
    <t>Died Jan 2025 when Parliament was prorogued. Minister of AI and Digital Innovation appointed May 2025; Canadian AI Safety Institute (2024).</t>
  </si>
  <si>
    <t>Bill C-36 — Protecting Privacy and Consumer Data Act</t>
  </si>
  <si>
    <t>Proposed Digital Safety and Data Protection Commission</t>
  </si>
  <si>
    <t>Automated decision systems making significant decisions about individuals; children's data.</t>
  </si>
  <si>
    <t>Transparency and plain-language explanations of automated decisions; higher standards for children's data; deletion and mobility rights; penalties up to C$10M/3% (C$25M/5% for offences).</t>
  </si>
  <si>
    <t>Tabled 15 June 2026; not yet law.</t>
  </si>
  <si>
    <t>All private-sector organizations</t>
  </si>
  <si>
    <t>Privacy</t>
  </si>
  <si>
    <t>PIPEDA (federal private-sector privacy law)</t>
  </si>
  <si>
    <t>Office of the Privacy Commissioner</t>
  </si>
  <si>
    <t>AI processing personal information in commercial activity.</t>
  </si>
  <si>
    <t>Consent, purpose limitation, openness, accuracy, access; OPC principles for responsible generative AI (Dec 2023).</t>
  </si>
  <si>
    <t>Joint OPC investigation of OpenAI ongoing.</t>
  </si>
  <si>
    <t>Privacy / automated decisions (Quebec)</t>
  </si>
  <si>
    <t>Quebec Law 25 — Private Sector Act s.12.1</t>
  </si>
  <si>
    <t>Commission d'accès à l'information</t>
  </si>
  <si>
    <t>Decisions based exclusively on automated processing of personal information.</t>
  </si>
  <si>
    <t>Notify the person; on request disclose the personal information used, reasons and principal factors; right to correct data and to have the decision reviewed by a person. Privacy impact assessments; penalties up to C$25M or 4%.</t>
  </si>
  <si>
    <t>In force since Sept 2023.</t>
  </si>
  <si>
    <t>Any business with Quebec customers or staff</t>
  </si>
  <si>
    <t>Employment (Ontario)</t>
  </si>
  <si>
    <t>Employment Standards Act — Working for Workers Four Act, 2024</t>
  </si>
  <si>
    <t>Ontario Ministry of Labour</t>
  </si>
  <si>
    <t>Publicly advertised job postings where AI screens, assesses or selects applicants.</t>
  </si>
  <si>
    <t>Disclose AI use in the job posting; written electronic-monitoring policy for employers with 25+ employees.</t>
  </si>
  <si>
    <t>In force 1 Jan 2026. Nova Scotia (Bill 234) proposing similar rules.</t>
  </si>
  <si>
    <t>Employers hiring in Ontario</t>
  </si>
  <si>
    <t>Canadian Human Rights Act &amp; provincial human-rights codes</t>
  </si>
  <si>
    <t>Human-rights commissions and tribunals</t>
  </si>
  <si>
    <t>Discriminatory AI outcomes in employment, housing and services.</t>
  </si>
  <si>
    <t>Employer and service-provider liability for adverse-effect discrimination; duty to accommodate.</t>
  </si>
  <si>
    <t>Employers, landlords, service providers</t>
  </si>
  <si>
    <t>Public sector</t>
  </si>
  <si>
    <t>Treasury Board Directive on Automated Decision-Making; Ontario Bill 194 (2024); Manitoba Bill 51</t>
  </si>
  <si>
    <t>Binding on government</t>
  </si>
  <si>
    <t>Treasury Board; provinces</t>
  </si>
  <si>
    <t>Federal and provincial government use of AI.</t>
  </si>
  <si>
    <t>Algorithmic impact assessments, notice, human review, peer review for higher-risk systems.</t>
  </si>
  <si>
    <t>Directive updated 2025; provinces adding public-sector AI rules.</t>
  </si>
  <si>
    <t>Government vendors</t>
  </si>
  <si>
    <t>Voluntary Code of Conduct on Advanced Generative AI Systems</t>
  </si>
  <si>
    <t>ISED</t>
  </si>
  <si>
    <t>Developers and managers of generative AI.</t>
  </si>
  <si>
    <t>Accountability, safety, fairness, transparency, human oversight, robustness commitments.</t>
  </si>
  <si>
    <t>Launched Sept 2023; 40+ signatories.</t>
  </si>
  <si>
    <t>GenAI developers</t>
  </si>
  <si>
    <t>Mexico — AI Governance Laws</t>
  </si>
  <si>
    <t>No general AI law. Congress has 80+ pending AI initiatives; regulation is moving sector by sector.</t>
  </si>
  <si>
    <t>General Law to Regulate and Foster AI (proposals)</t>
  </si>
  <si>
    <t>Senate special commission</t>
  </si>
  <si>
    <t>Proposals include risk tiers, bans on cognitive manipulation and a National AI Agency with fining powers.</t>
  </si>
  <si>
    <t>Not advanced to the Senate floor by the end of ordinary sessions (2026); needs constitutional reform of Arts. 3 and 73 first. President Sheinbaum held forums on AI and minors (Aug–Sept 2026) feeding a separate initiative.</t>
  </si>
  <si>
    <t>Watch item</t>
  </si>
  <si>
    <t>Federal Law on Protection of Personal Data Held by Private Parties (new LFPDPPP, 2025)</t>
  </si>
  <si>
    <t>Secretaría Anticorrupción y Buen Gobierno (replaced INAI)</t>
  </si>
  <si>
    <t>AI processing personal data, including automated decisions.</t>
  </si>
  <si>
    <t>Privacy notices, consent, ARCO rights; rights regarding automated processing that significantly affects the person (verify scope).</t>
  </si>
  <si>
    <t>New law published 20 Mar 2025; INAI dissolved and functions moved to the executive.</t>
  </si>
  <si>
    <t>All private-sector data controllers</t>
  </si>
  <si>
    <t>Federal Labour Law — digital platform work reform (Art. 291-J and related)</t>
  </si>
  <si>
    <t>Ministry of Labour (STPS)</t>
  </si>
  <si>
    <t>Algorithms that assign work, set pay or deactivate platform workers.</t>
  </si>
  <si>
    <t>Algorithmic transparency to workers: explain how automated systems assign tasks, evaluate and sanction.</t>
  </si>
  <si>
    <t>Platform-work reform in force 2025.</t>
  </si>
  <si>
    <t>Gig and delivery platforms</t>
  </si>
  <si>
    <t>Likeness / copyright</t>
  </si>
  <si>
    <t>Federal Copyright Law amendments (May 2026)</t>
  </si>
  <si>
    <t>INDAUTOR; courts</t>
  </si>
  <si>
    <t>AI cloning or simulation of an artist's voice or image.</t>
  </si>
  <si>
    <t>Written consent required to clone or simulate a performer's voice or image with AI.</t>
  </si>
  <si>
    <t>Decree of 14 May 2026.</t>
  </si>
  <si>
    <t>Media, advertising, entertainment AI</t>
  </si>
  <si>
    <t>Federal Consumer Protection Law</t>
  </si>
  <si>
    <t>PROFECO</t>
  </si>
  <si>
    <t>Misleading AI claims, chatbots in customer service, automated pricing.</t>
  </si>
  <si>
    <t>Truthful advertising; clear information to consumers.</t>
  </si>
  <si>
    <t>Consumer-facing businesses</t>
  </si>
  <si>
    <t>State penal codes (e.g., 'Ley Olimpia' reforms)</t>
  </si>
  <si>
    <t>Binding statute (state level)</t>
  </si>
  <si>
    <t>State prosecutors</t>
  </si>
  <si>
    <t>Sexual deepfakes and digital violence.</t>
  </si>
  <si>
    <t>Criminal penalties for creating or sharing intimate content without consent, including AI-generated content in several states.</t>
  </si>
  <si>
    <t>Platforms, image-generation tools</t>
  </si>
  <si>
    <t>Brazil — AI Governance Laws</t>
  </si>
  <si>
    <t>Binding AI bill (PL 2338/2023) is stalled; AI is regulated today through LGPD, consumer law, children's online-safety law and electoral rules.</t>
  </si>
  <si>
    <t>PL 2338/2023 — Brazilian AI Bill</t>
  </si>
  <si>
    <t>Proposed: ANPD-coordinated national AI system (SIA)</t>
  </si>
  <si>
    <t>Would cover developers and deployers of AI, with high-risk categories.</t>
  </si>
  <si>
    <t>Proposed: risk classification, prohibited uses, algorithmic impact assessments, rights to explanation and human review, civil liability, copyright remuneration for training data.</t>
  </si>
  <si>
    <t>Passed Senate 10 Dec 2024; awaiting committee opinion in the Chamber of Deputies (as of Sept 2026).</t>
  </si>
  <si>
    <t>Watch item — all AI businesses</t>
  </si>
  <si>
    <t>LGPD — Lei 13.709/2018, Art. 20</t>
  </si>
  <si>
    <t>ANPD (now the National Data Protection Agency)</t>
  </si>
  <si>
    <t>Decisions made solely through automated processing that affect a person's interests (profiling, credit, employment).</t>
  </si>
  <si>
    <t>Right to request review of automated decisions; on request, clear information about criteria and procedures (subject to trade secrets); legal basis and DPIAs for high-risk processing.</t>
  </si>
  <si>
    <t>ANPD AI regulatory sandbox and consultations on AI and data protection (2025–26).</t>
  </si>
  <si>
    <t>All data controllers in Brazil</t>
  </si>
  <si>
    <t>Minors / platforms</t>
  </si>
  <si>
    <t>ECA Digital — Lei 15.211/2025 (Digital Statute of Children and Adolescents)</t>
  </si>
  <si>
    <t>ANPD</t>
  </si>
  <si>
    <t>Digital services, including AI products and recommender systems, likely to be accessed by minors.</t>
  </si>
  <si>
    <t>Safety by default, age verification, parental controls, limits on profiling minors for ads, duty to prevent harmful content.</t>
  </si>
  <si>
    <t>Signed Sept 2025; in force March 2026.</t>
  </si>
  <si>
    <t>Platforms, apps, games, chatbots</t>
  </si>
  <si>
    <t>Elections / deepfakes</t>
  </si>
  <si>
    <t>TSE Resolution 23.755/2026</t>
  </si>
  <si>
    <t>Binding electoral rule</t>
  </si>
  <si>
    <t>Superior Electoral Court (TSE)</t>
  </si>
  <si>
    <t>AI-generated campaign content and platforms during elections.</t>
  </si>
  <si>
    <t>Prominent AI labels on synthetic campaign content; total ban on electoral deepfakes; no new synthetic candidate content 72 hours before to 24 hours after voting; AI may not rank or recommend candidates; fines R$5,000–30,000, candidacy cancellation.</t>
  </si>
  <si>
    <t>Approved 2 Mar 2026; applies to the 4 Oct 2026 election and 25 Oct runoff.</t>
  </si>
  <si>
    <t>Campaigns, platforms, ad tech</t>
  </si>
  <si>
    <t>Consumer Defense Code (CDC)</t>
  </si>
  <si>
    <t>Procon; Senacon; courts</t>
  </si>
  <si>
    <t>AI in consumer services, pricing, chatbots and credit.</t>
  </si>
  <si>
    <t>Information duties, ban on abusive practices, strict liability for defective services.</t>
  </si>
  <si>
    <t>Platform liability</t>
  </si>
  <si>
    <t>Marco Civil da Internet, Art. 19 (STF ruling)</t>
  </si>
  <si>
    <t>Binding (court ruling)</t>
  </si>
  <si>
    <t>Supreme Federal Court</t>
  </si>
  <si>
    <t>Platforms hosting harmful content, including AI-generated content.</t>
  </si>
  <si>
    <t>Platforms may be liable after notice (and in some cases without a court order) for serious illegal content.</t>
  </si>
  <si>
    <t>Supreme Court ruling June 2025.</t>
  </si>
  <si>
    <t>Platforms</t>
  </si>
  <si>
    <t>Infrastructure</t>
  </si>
  <si>
    <t>Redata law (data-centre tax incentives)</t>
  </si>
  <si>
    <t>Federal Revenue</t>
  </si>
  <si>
    <t>Data-centre equipment for AI.</t>
  </si>
  <si>
    <t>Suspends import duty and federal taxes on qualifying data-centre equipment.</t>
  </si>
  <si>
    <t>Signed 15 Sept 2026.</t>
  </si>
  <si>
    <t>Data-centre investors</t>
  </si>
  <si>
    <t>India — AI Governance Laws</t>
  </si>
  <si>
    <t>No AI-specific statute. India relies on the DPDP Act, IT Act rules (now covering AI-generated content), sector regulators and voluntary national AI guidelines.</t>
  </si>
  <si>
    <t>India AI Governance Guidelines</t>
  </si>
  <si>
    <t>Voluntary guidelines</t>
  </si>
  <si>
    <t>MeitY</t>
  </si>
  <si>
    <t>All AI development and deployment.</t>
  </si>
  <si>
    <t>Seven principles ('sutras'): trust, people first, responsible innovation, fairness and equity, accountability, understandable by design, safety and resilience; six pillars and institutional proposals (AI governance group, AI Safety Institute).</t>
  </si>
  <si>
    <t>Released 5 Nov 2025; government explicitly chose not to propose an AI law for now.</t>
  </si>
  <si>
    <t>All — reference framework</t>
  </si>
  <si>
    <t>Digital Personal Data Protection Act 2023 &amp; DPDP Rules 2025</t>
  </si>
  <si>
    <t>Binding statute &amp; rules</t>
  </si>
  <si>
    <t>Data Protection Board of India</t>
  </si>
  <si>
    <t>Any AI processing digital personal data of people in India, including training.</t>
  </si>
  <si>
    <t>Notice and consent (or legitimate use); purpose limitation; children's data needs verifiable parental consent and bans tracking and targeted ads; Significant Data Fiduciaries must run DPIAs, audits and algorithmic due-diligence checks; breach notification; penalties up to ₹250 crore per breach.</t>
  </si>
  <si>
    <t>Rules notified 13 Nov 2025; Board set up first; full obligations by 13 May 2027 (government considering acceleration). No explicit right against automated decisions.</t>
  </si>
  <si>
    <t>All businesses handling Indian personal data</t>
  </si>
  <si>
    <t>Synthetic content / platforms</t>
  </si>
  <si>
    <t>IT (Intermediary Guidelines and Digital Media Ethics Code) Amendment Rules 2026</t>
  </si>
  <si>
    <t>Binding rules</t>
  </si>
  <si>
    <t>Synthetically generated information (AI-generated audio, image, video that appears real) on intermediaries.</t>
  </si>
  <si>
    <t>Prominent labels plus permanent metadata/provenance identifiers; no tools to strip labels; ban on prohibited synthetic content (CSAM, NCII, false documents, deceptive depictions); 3-hour takedown of unlawful content; large platforms (5M+ users) must verify user declarations and deploy detection.</t>
  </si>
  <si>
    <t>Notified 10 Feb 2026; in force 20 Feb 2026.</t>
  </si>
  <si>
    <t>Platforms, generative-AI services</t>
  </si>
  <si>
    <t>RBI FREE-AI Framework</t>
  </si>
  <si>
    <t>Regulator framework</t>
  </si>
  <si>
    <t>Reserve Bank of India</t>
  </si>
  <si>
    <t>AI used by banks, NBFCs and other regulated entities.</t>
  </si>
  <si>
    <t>Board-approved AI policy, model inventory, risk-based governance, bias and explainability checks, consumer disclosure, incident reporting.</t>
  </si>
  <si>
    <t>Released Aug 2025.</t>
  </si>
  <si>
    <t>Banks, NBFCs, fintechs</t>
  </si>
  <si>
    <t>Securities</t>
  </si>
  <si>
    <t>SEBI guidance on AI/ML in securities markets</t>
  </si>
  <si>
    <t>Regulator guidance</t>
  </si>
  <si>
    <t>SEBI</t>
  </si>
  <si>
    <t>AI used by brokers, advisers, exchanges and fund managers.</t>
  </si>
  <si>
    <t>Accountability for AI outputs, testing, data security, disclosure to clients where AI affects them.</t>
  </si>
  <si>
    <t>Consultation on responsible AI guidelines (June 2025) (verify final status).</t>
  </si>
  <si>
    <t>Brokers, AMCs, advisers</t>
  </si>
  <si>
    <t>Criminal / deepfakes</t>
  </si>
  <si>
    <t>IT Act 2000 &amp; Bharatiya Nyaya Sanhita 2023</t>
  </si>
  <si>
    <t>Police; courts</t>
  </si>
  <si>
    <t>Deepfake impersonation, obscenity, defamation, cheating.</t>
  </si>
  <si>
    <t>Criminal liability for impersonation, publishing obscene or deceptive content; personality-rights injunctions granted by courts against AI misuse.</t>
  </si>
  <si>
    <t>Delhi and Bombay High Courts granting personality-rights orders against AI clones (2024–26).</t>
  </si>
  <si>
    <t>Platforms, content creators</t>
  </si>
  <si>
    <t>Copyright Act 1957</t>
  </si>
  <si>
    <t>Courts; DPIIT</t>
  </si>
  <si>
    <t>Training on copyrighted works.</t>
  </si>
  <si>
    <t>No TDM exception; training and outputs tested in court.</t>
  </si>
  <si>
    <t>ANI v. OpenAI pending in Delhi High Court; DPIIT working paper on AI and copyright (2025) (verify).</t>
  </si>
  <si>
    <t>ICMR Ethical Guidelines for AI in Biomedical Research and Healthcare</t>
  </si>
  <si>
    <t>Guidance</t>
  </si>
  <si>
    <t>ICMR</t>
  </si>
  <si>
    <t>AI in health research and care.</t>
  </si>
  <si>
    <t>Ethics review, consent, data safeguards, accountability.</t>
  </si>
  <si>
    <t>Issued 2023.</t>
  </si>
  <si>
    <t>Health-tech, hospitals</t>
  </si>
  <si>
    <t>Gulf (GCC) — AI Governance Laws</t>
  </si>
  <si>
    <t>No GCC state has an enacted horizontal AI statute. Binding rules come from data-protection laws, free-zone regulations and — increasingly — central banks. Country is shown in the Category column.</t>
  </si>
  <si>
    <t>UAE · Privacy</t>
  </si>
  <si>
    <t>Federal Decree-Law 45/2021 (PDPL)</t>
  </si>
  <si>
    <t>UAE Data Office (now within the new federal AI and data authority)</t>
  </si>
  <si>
    <t>AI processing personal data onshore in the UAE.</t>
  </si>
  <si>
    <t>Consent and lawful bases; right to object to automated processing producing legal effects; DPIAs for high-risk processing.</t>
  </si>
  <si>
    <t>Executive regulations long awaited (verify).</t>
  </si>
  <si>
    <t>All UAE businesses</t>
  </si>
  <si>
    <t>UAE · Automated systems (DIFC)</t>
  </si>
  <si>
    <t>DIFC Data Protection Regulation 10 (Autonomous &amp; Semi-Autonomous Systems)</t>
  </si>
  <si>
    <t>DIFC Commissioner of Data Protection</t>
  </si>
  <si>
    <t>AI and autonomous systems processing personal data in the Dubai International Financial Centre.</t>
  </si>
  <si>
    <t>Notice of AI use and its purpose, human-defined principles, certification for high-risk processing, an autonomous-systems officer in some cases.</t>
  </si>
  <si>
    <t>In force Sept 2023; enforcement phasing from 2026 (verify).</t>
  </si>
  <si>
    <t>DIFC firms</t>
  </si>
  <si>
    <t>UAE · Financial</t>
  </si>
  <si>
    <t>CBUAE Guidance Note on AI/ML</t>
  </si>
  <si>
    <t>Supervisory guidance</t>
  </si>
  <si>
    <t>Central Bank of the UAE</t>
  </si>
  <si>
    <t>AI used by licensed financial institutions.</t>
  </si>
  <si>
    <t>Board accountability, model inventory, annual bias testing, human review, kill-switch capability.</t>
  </si>
  <si>
    <t>Issued Feb 2026.</t>
  </si>
  <si>
    <t>UAE banks, insurers, fintechs</t>
  </si>
  <si>
    <t>UAE · Governance</t>
  </si>
  <si>
    <t>UAE Charter for the Development and Use of AI; Federal Authority for AI and Data</t>
  </si>
  <si>
    <t>Principles; new regulator</t>
  </si>
  <si>
    <t>Federal Authority for AI and Data</t>
  </si>
  <si>
    <t>All AI.</t>
  </si>
  <si>
    <t>Non-binding principles: safety, privacy, bias avoidance, transparency, human oversight.</t>
  </si>
  <si>
    <t>Charter June 2024; new Cabinet-level authority June 2026 consolidating the AI Office and data functions.</t>
  </si>
  <si>
    <t>Saudi Arabia · Privacy</t>
  </si>
  <si>
    <t>Personal Data Protection Law (PDPL)</t>
  </si>
  <si>
    <t>SDAIA</t>
  </si>
  <si>
    <t>AI processing personal data of people in Saudi Arabia.</t>
  </si>
  <si>
    <t>Lawful basis, notice, data-subject rights, cross-border transfer limits, DPIAs; fines up to SAR 5M.</t>
  </si>
  <si>
    <t>Enforced since Sept 2024; 48 enforcement decisions by mid-2026.</t>
  </si>
  <si>
    <t>All KSA businesses</t>
  </si>
  <si>
    <t>Saudi Arabia · AI governance</t>
  </si>
  <si>
    <t>SDAIA AI Ethics Principles; Generative AI Guidelines; Deepfake Guidelines; National AI Risk Management Framework (SDAIA-P145)</t>
  </si>
  <si>
    <t>Guidance / national framework</t>
  </si>
  <si>
    <t>All AI development and use.</t>
  </si>
  <si>
    <t>Ethics principles, GenAI risk controls, deepfake guidance; national methodology for identifying, assessing and monitoring AI risk.</t>
  </si>
  <si>
    <t>Risk framework issued July 2026.</t>
  </si>
  <si>
    <t>Saudi Arabia · Copyright</t>
  </si>
  <si>
    <t>Copyright Law — text-and-data-mining exception</t>
  </si>
  <si>
    <t>Saudi Authority for Intellectual Property</t>
  </si>
  <si>
    <t>Training AI on lawfully published works.</t>
  </si>
  <si>
    <t>Permits TDM within statutory limits.</t>
  </si>
  <si>
    <t>Effective 12 Aug 2026.</t>
  </si>
  <si>
    <t>Model developers</t>
  </si>
  <si>
    <t>Saudi Arabia · Pending</t>
  </si>
  <si>
    <t>Draft Global AI Hub Law</t>
  </si>
  <si>
    <t>Draft</t>
  </si>
  <si>
    <t>CST / SDAIA</t>
  </si>
  <si>
    <t>Foreign data and AI hosting.</t>
  </si>
  <si>
    <t>Proposed data 'embassy'-style hubs with home-country law applying.</t>
  </si>
  <si>
    <t>Consultation 2025; not enacted.</t>
  </si>
  <si>
    <t>Cloud and AI hosts</t>
  </si>
  <si>
    <t>Qatar · Financial</t>
  </si>
  <si>
    <t>Qatar Central Bank AI Guidelines</t>
  </si>
  <si>
    <t>Binding on licensed FIs</t>
  </si>
  <si>
    <t>Qatar Central Bank</t>
  </si>
  <si>
    <t>AI used by QCB-licensed institutions.</t>
  </si>
  <si>
    <t>AI strategy, risk assessments, approval gates for high-risk systems and before launching fully autonomous systems; customer disclosure.</t>
  </si>
  <si>
    <t>Issued Sept 2024.</t>
  </si>
  <si>
    <t>Qatari banks, insurers, fintechs</t>
  </si>
  <si>
    <t>Qatar · Privacy &amp; ethics</t>
  </si>
  <si>
    <t>Personal Data Privacy Protection Law (Law 13/2016); MCIT Ethical AI Guidelines</t>
  </si>
  <si>
    <t>Binding statute; guidance</t>
  </si>
  <si>
    <t>National Cyber Governance and Assurance Affairs; MCIT</t>
  </si>
  <si>
    <t>AI processing personal data; all AI.</t>
  </si>
  <si>
    <t>Privacy safeguards, DPIAs for risky processing; ethical AI principles.</t>
  </si>
  <si>
    <t>MCIT guidelines 2025.</t>
  </si>
  <si>
    <t>Bahrain · Pending AI law</t>
  </si>
  <si>
    <t>38-article AI law proposal</t>
  </si>
  <si>
    <t>AI developers and users.</t>
  </si>
  <si>
    <t>Proposed licensing, prohibited uses and criminal penalties (up to 3 years' prison).</t>
  </si>
  <si>
    <t>Endorsed by Shura Council 2024; not enacted as of July 2026. Government AI policy mandatory for public bodies (May 2025).</t>
  </si>
  <si>
    <t>Oman · Policy</t>
  </si>
  <si>
    <t>National AI Policy; PDPL amendments</t>
  </si>
  <si>
    <t>Mandatory policy; pending amendments</t>
  </si>
  <si>
    <t>Ministry of Transport, Communications &amp; IT</t>
  </si>
  <si>
    <t>AI in government and regulated use; automated processing of personal data.</t>
  </si>
  <si>
    <t>Governance standards, assessments, documentation and compliance reporting.</t>
  </si>
  <si>
    <t>Policy effective 9 Apr 2025; PDPL amendments on automated processing awaiting promulgation (May 2026).</t>
  </si>
  <si>
    <t>Government and vendors</t>
  </si>
  <si>
    <t>Australia — AI Governance Laws</t>
  </si>
  <si>
    <t>No standalone AI act. The National AI Plan (Dec 2025) relies on existing laws plus new privacy transparency rules, with an AI Safety Institute and Office of AI.</t>
  </si>
  <si>
    <t>National AI Plan; Guidance for AI Adoption</t>
  </si>
  <si>
    <t>Policy; voluntary guidance</t>
  </si>
  <si>
    <t>Department of Industry; National AI Centre</t>
  </si>
  <si>
    <t>Guidance for AI Adoption (replaced the Voluntary AI Safety Standard, Oct 2025): governance, accountability, testing, transparency practices.</t>
  </si>
  <si>
    <t>National AI Plan Dec 2025 dropped the earlier proposal for mandatory guardrails on high-risk AI. AI Safety Institute established; Office of AI (July 2026) tasked with Australian AI standards (verify binding status).</t>
  </si>
  <si>
    <t>Privacy Act 1988 as amended by Privacy and Other Legislation Amendment Act 2024</t>
  </si>
  <si>
    <t>OAIC</t>
  </si>
  <si>
    <t>Computer programs (including AI) that make, or substantially assist, decisions significantly affecting individuals' rights or interests.</t>
  </si>
  <si>
    <t>Privacy policies must disclose the kinds of personal information used and the kinds of decisions made by automated means. Australian Privacy Principles apply to AI training and use (OAIC guidance Oct 2024).</t>
  </si>
  <si>
    <t>Automated-decision transparency applies from 10 Dec 2026. Further 'tranche 2' reforms pending.</t>
  </si>
  <si>
    <t>APP entities using AI</t>
  </si>
  <si>
    <t>Privacy tort</t>
  </si>
  <si>
    <t>Statutory tort for serious invasions of privacy</t>
  </si>
  <si>
    <t>Courts</t>
  </si>
  <si>
    <t>Serious privacy intrusions, including misuse of data or images by AI systems.</t>
  </si>
  <si>
    <t>Individuals can sue for serious, intentional or reckless invasions of privacy.</t>
  </si>
  <si>
    <t>In force 10 June 2025.</t>
  </si>
  <si>
    <t>Criminal Code Amendment (Deepfake Sexual Material) Act 2024</t>
  </si>
  <si>
    <t>Federal police</t>
  </si>
  <si>
    <t>Creating or sharing non-consensual sexual deepfakes.</t>
  </si>
  <si>
    <t>Criminal offences with up to 6–7 years' imprisonment.</t>
  </si>
  <si>
    <t>In force 2024.</t>
  </si>
  <si>
    <t>Minors / online safety</t>
  </si>
  <si>
    <t>Online Safety Act 2021 &amp; Social Media Minimum Age amendment</t>
  </si>
  <si>
    <t>eSafety Commissioner</t>
  </si>
  <si>
    <t>Platforms, AI companions and generative services accessible to children.</t>
  </si>
  <si>
    <t>Under-16 social-media minimum age; industry codes covering AI companions and harmful AI-generated content.</t>
  </si>
  <si>
    <t>Minimum age in force 10 Dec 2025; new codes 2025–26.</t>
  </si>
  <si>
    <t>Australian Consumer Law</t>
  </si>
  <si>
    <t>ACCC</t>
  </si>
  <si>
    <t>Misleading AI claims, unfair practices, defective AI products.</t>
  </si>
  <si>
    <t>No misleading or deceptive conduct; consumer guarantees.</t>
  </si>
  <si>
    <t>ACCC reviewing AI and consumer law adequacy.</t>
  </si>
  <si>
    <t>Fair Work Act; federal anti-discrimination Acts</t>
  </si>
  <si>
    <t>Fair Work Commission; AHRC</t>
  </si>
  <si>
    <t>AI in hiring, rostering, surveillance and dismissal.</t>
  </si>
  <si>
    <t>Liability for discriminatory outcomes; consultation duties on major workplace change.</t>
  </si>
  <si>
    <t>Parliamentary inquiry recommended treating workplace AI as high-risk (2025).</t>
  </si>
  <si>
    <t>Employers</t>
  </si>
  <si>
    <t>ASIC &amp; APRA obligations (CPS 230)</t>
  </si>
  <si>
    <t>ASIC; APRA</t>
  </si>
  <si>
    <t>AI in financial services and operational risk.</t>
  </si>
  <si>
    <t>Operational-risk and third-party management; licensee obligations apply to AI use.</t>
  </si>
  <si>
    <t>CPS 230 in force July 2025; ASIC report on AI governance gaps (2024).</t>
  </si>
  <si>
    <t>Banks, insurers, super funds</t>
  </si>
  <si>
    <t>Copyright Act 1968</t>
  </si>
  <si>
    <t>No TDM exception — permission needed.</t>
  </si>
  <si>
    <t>Government ruled out a TDM exception for AI training (Oct 2025).</t>
  </si>
  <si>
    <t>Singapore — AI Governance Laws</t>
  </si>
  <si>
    <t>No AI act. Singapore leads on voluntary frameworks and testing tools, backed by the PDPA, sector rules (MAS) and targeted online-harm and election laws.</t>
  </si>
  <si>
    <t>Model AI Governance Framework (2020), GenAI Framework (2024), Model AI Governance Framework for Agentic AI (2026)</t>
  </si>
  <si>
    <t>IMDA; PDPC</t>
  </si>
  <si>
    <t>All AI, generative AI and AI agents.</t>
  </si>
  <si>
    <t>Internal governance, human involvement, operations management, stakeholder communication; for agents: bound risks, human accountability, technical controls, continuous monitoring.</t>
  </si>
  <si>
    <t>Agentic framework v1.0 launched 22 Jan 2026; v1.5 May 2026. AI Verify testing toolkit.</t>
  </si>
  <si>
    <t>Personal Data Protection Act (PDPA) &amp; Advisory Guidelines on AI Recommendation and Decision Systems</t>
  </si>
  <si>
    <t>PDPC</t>
  </si>
  <si>
    <t>AI using personal data for development, recommendations or decisions.</t>
  </si>
  <si>
    <t>Consent or business-improvement/research exceptions; notification of AI use; accountability measures; fines up to 10% of Singapore turnover.</t>
  </si>
  <si>
    <t>AI guidelines issued Mar 2024.</t>
  </si>
  <si>
    <t>All organizations</t>
  </si>
  <si>
    <t>MAS FEAT principles; AI Risk Management Guidelines (proposed); Project MindForge toolkit</t>
  </si>
  <si>
    <t>Supervisory principles</t>
  </si>
  <si>
    <t>Monetary Authority of Singapore</t>
  </si>
  <si>
    <t>AI used by financial institutions.</t>
  </si>
  <si>
    <t>Fairness, ethics, accountability, transparency; AI inventory, risk materiality, lifecycle controls, board oversight.</t>
  </si>
  <si>
    <t>AIRG consulted Nov 2025–Jan 2026 (final status: verify); MindForge toolkit Mar 2026.</t>
  </si>
  <si>
    <t>Elections (Integrity of Online Advertising) (Amendment) Act 2024</t>
  </si>
  <si>
    <t>Elections Department</t>
  </si>
  <si>
    <t>Deepfakes of election candidates.</t>
  </si>
  <si>
    <t>Ban on publishing realistic digitally manipulated content of candidates during election periods.</t>
  </si>
  <si>
    <t>Applied at the 2025 general election.</t>
  </si>
  <si>
    <t>Platforms, campaigns</t>
  </si>
  <si>
    <t>Online harms</t>
  </si>
  <si>
    <t>Online Safety (Relief and Accountability) Act 2025</t>
  </si>
  <si>
    <t>Online Safety Commission</t>
  </si>
  <si>
    <t>Online harms including intimate-image abuse and deepfakes.</t>
  </si>
  <si>
    <t>Victims can seek rapid takedown and redress; platform and user duties.</t>
  </si>
  <si>
    <t>Online Safety Commission operational from 2026 (verify).</t>
  </si>
  <si>
    <t>Workplace Fairness Act 2025; Tripartite Guidelines on Fair Employment</t>
  </si>
  <si>
    <t>Ministry of Manpower</t>
  </si>
  <si>
    <t>Discrimination in hiring and employment decisions, including AI-assisted ones.</t>
  </si>
  <si>
    <t>Prohibits discrimination on protected characteristics; grievance-handling processes.</t>
  </si>
  <si>
    <t>Act passed Jan 2025; commencement expected 2026–27 (verify).</t>
  </si>
  <si>
    <t>Copyright Act 2021, s.244 (computational data analysis)</t>
  </si>
  <si>
    <t>Training AI on lawfully accessed works.</t>
  </si>
  <si>
    <t>Exception permits computational data analysis, including AI training, on lawfully accessed material.</t>
  </si>
  <si>
    <t>In force since 2021.</t>
  </si>
  <si>
    <t>AI in Healthcare Guidelines; Health Products Act (software medical devices)</t>
  </si>
  <si>
    <t>Guidance; binding regulation</t>
  </si>
  <si>
    <t>MOH; HSA</t>
  </si>
  <si>
    <t>AI in clinical care and medical-device software.</t>
  </si>
  <si>
    <t>Developer and implementer good practices; HSA registration for AI medical devices.</t>
  </si>
  <si>
    <t>Coverage Summary — listed states with AI-specific law, by feature</t>
  </si>
  <si>
    <t>Live formulas count non-'—' cells in the State Matrix. Figures cover only the 26 states listed; a few entries are pending bills, studies or vetoes (NJ, VA, MA, FL) rather than enacted law.</t>
  </si>
  <si>
    <t>Feature (State Matrix column)</t>
  </si>
  <si>
    <t>States with an entry</t>
  </si>
  <si>
    <t>Share of listed states</t>
  </si>
  <si>
    <t>Total states listed</t>
  </si>
  <si>
    <t>Note: the last row (Government use · other · pending) is a catch-all, not a single regulated feature.</t>
  </si>
  <si>
    <t>Global Matrix — jurisdictions with an entry, by feature</t>
  </si>
  <si>
    <t>Feature (Global Matrix column)</t>
  </si>
  <si>
    <t>Jurisdictions with an entry</t>
  </si>
  <si>
    <t>Share of listed jurisdictions</t>
  </si>
  <si>
    <t>Total jurisdictions listed</t>
  </si>
  <si>
    <t>Note: Global entries include voluntary frameworks and pending bills where no binding law exists — read the cell, not just the count.</t>
  </si>
  <si>
    <t>Sources</t>
  </si>
  <si>
    <t>Public reporting and law-firm analyses consulted for 2025–26 developments (accessed Sept–Oct 2026). Earlier laws reflect long-standing public record.</t>
  </si>
  <si>
    <t>Topic</t>
  </si>
  <si>
    <t>Source</t>
  </si>
  <si>
    <t>State AI law volume (84 laws, 27 states, H1 2026)</t>
  </si>
  <si>
    <t>Transparency Coalition mid-year report — https://www.transparencycoalition.ai/news/tcai-report-84-new-ai-laws-enacted-in-27-states-in-2026</t>
  </si>
  <si>
    <t>State legislation overview</t>
  </si>
  <si>
    <t>TechPolicy.Press — https://www.techpolicy.press/where-state-ai-legislation-stands-half-way-into-2026/</t>
  </si>
  <si>
    <t>Colorado SB 26-189</t>
  </si>
  <si>
    <t>Crowell &amp; Moring — https://www.crowell.com/en/insights/client-alerts/colorado-hits-reset-on-ai-regulation-sb-26-189-repeals-and-reenacts-the-colorado-ai-act</t>
  </si>
  <si>
    <t>Connecticut SB 5</t>
  </si>
  <si>
    <t>Future of Privacy Forum — https://fpf.org/blog/sb-5-in-five-what-to-know-about-connecticuts-new-ai-law/</t>
  </si>
  <si>
    <t>Illinois SB 315</t>
  </si>
  <si>
    <t>Crowell &amp; Moring — https://www.crowell.com/en/insights/client-alerts/illinois-imposes-transparency-and-safety-obligations-on-frontier-ai-systems</t>
  </si>
  <si>
    <t>New York RAISE Act</t>
  </si>
  <si>
    <t>Wiley — https://www.wiley.law/alert-New-York-Finalizes-RAISE-Act-for-Frontier-AI-Models-Law-Takes-Effect-January-1-2027</t>
  </si>
  <si>
    <t>California 2026 session</t>
  </si>
  <si>
    <t>WilmerHale — https://www.wilmerhale.com/en/insights/blogs/wilmerhale-privacy-and-cybersecurity-law/20261002-california-finalizes-next-wave-of-state-ai-and-privacy-regulation</t>
  </si>
  <si>
    <t>California Adam's Law</t>
  </si>
  <si>
    <t>Office of Sen. Padilla — https://sd18.senate.ca.gov/news/governor-newsom-signs-adams-law</t>
  </si>
  <si>
    <t>Texas TRAIGA</t>
  </si>
  <si>
    <t>Promise Legal — https://blog.promise.legal/traiga-texas-ai-law-what-it-requires/</t>
  </si>
  <si>
    <t>Utah AI laws</t>
  </si>
  <si>
    <t>Ashurst Perkins Coie — https://www.ashurstperkinscoie.com/en/insights/new-utah-ai-laws-change-disclosure-requirements-and-identity-protections-target-mental-health-chatbo/</t>
  </si>
  <si>
    <t>Virginia SB 384 / HB 797</t>
  </si>
  <si>
    <t>Fathom — https://fathom.org/insights/fathom-applauds-governor-spanberger-s-signing-of-landmark-ai-governance-legislation</t>
  </si>
  <si>
    <t>Health insurance AI laws 2026</t>
  </si>
  <si>
    <t>Becker's Payer Issues — https://www.beckerspayer.com/policy-updates/7-ai-health-insurance-state-laws-passed-in-2026/</t>
  </si>
  <si>
    <t>Companion chatbot laws</t>
  </si>
  <si>
    <t>AI Laws by State tracker — https://www.ailawsbystate.com/tools/companion-chatbot-tracker ; MultiState — https://www.multistate.ai/updates/vol-105-state-ai-companion-chatbot-laws</t>
  </si>
  <si>
    <t>Surveillance pricing laws</t>
  </si>
  <si>
    <t>Venable — https://www.venable.com/insights/publications/2026/05/maryland-leads-wave-of-state-surveillance-pricing</t>
  </si>
  <si>
    <t>Employment AI laws</t>
  </si>
  <si>
    <t>MultiState — https://www.multistate.us/insider/2026/9/21/state-ai-employment-laws-address-monitoring-hiring-and-bias-concerns</t>
  </si>
  <si>
    <t>Florida SB 482</t>
  </si>
  <si>
    <t>Independent Florida Alligator — https://www.alligator.org/article/2026/04/florida-bill-targeting-ai-chatbots-and-privacy-issues-stalls-despite-desantis-backing</t>
  </si>
  <si>
    <t>Federal preemption / EO 14365 / Great American AI Act</t>
  </si>
  <si>
    <t>CASRAI — https://casrai.org/news/federal-ai-moratorium-state-preemption-fight-2026</t>
  </si>
  <si>
    <t>National AI Policy Framework (Mar 2026)</t>
  </si>
  <si>
    <t>Morrison Foerster — https://www.mofo.com/resources/insights/260402-trump-administration-releases-national-ai-policy-framework</t>
  </si>
  <si>
    <t>White House AI Accord (Sept 2026)</t>
  </si>
  <si>
    <t>Fortune — https://fortune.com/2026/10/01/trump-ai-regulation-luncheon-huang-amodei-pichai-brockman-zuckerberg-musk-joint-committment-frontier-responsibilities/</t>
  </si>
  <si>
    <t>The White House, July 2025 (document provided by Futran)</t>
  </si>
  <si>
    <t>Congressional AI bills</t>
  </si>
  <si>
    <t>TIME — https://time.com/article/2026/09/25/ai-congress-regulation-safety-democrats-republicans/</t>
  </si>
  <si>
    <t>EU — Digital Omnibus on AI</t>
  </si>
  <si>
    <t>White &amp; Case — https://www.whitecase.com/insight-alert/eu-ai-omnibus-enters-force-amending-ai-act ; Gibson Dunn — https://www.gibsondunn.com/eu-ai-act-omnibus-agreement-postponed-high-risk-deadlines-and-other-key-changes/</t>
  </si>
  <si>
    <t>UK — DUAA automated decisions</t>
  </si>
  <si>
    <t>Herbert Smith Freehills Kramer — https://www.hlc.com/en/publications/ai-and-automated-decisionmaking-in-the-uk-part-i-the-new-rules-and-regulatory-guidance</t>
  </si>
  <si>
    <t>UK — regulatory overview 2026</t>
  </si>
  <si>
    <t>Scaffold — https://www.scaffold.digital/news/uk-ai-regulation-in-2026-whats-in-force-whats-coming-and-what-your-business-should-do</t>
  </si>
  <si>
    <t>Canada — Bill C-36</t>
  </si>
  <si>
    <t>Government of Canada — https://www.canada.ca/en/innovation-science-economic-development/news/2026/06/government-of-canada-tables-new-legislation-to-protect-childrens-data-strengthen-privacy-and-build-trust-in-the-digital-economy.html</t>
  </si>
  <si>
    <t>Canada — workplace AI</t>
  </si>
  <si>
    <t>BLG — https://www.blg.com/en/insights/2026/06/navigating-ai-in-the-workplace-legal-considerations-for-canadian-employers</t>
  </si>
  <si>
    <t>Mexico — AI regulation status</t>
  </si>
  <si>
    <t>Cadena Política — https://cadenapolitica.com/2026/07/23/regulacion-de-la-inteligencia-artificial-en-mexico-2026-leyes-sectoriales/</t>
  </si>
  <si>
    <t>Brazil — PL 2338 status</t>
  </si>
  <si>
    <t>CASRAI — https://casrai.org/guides/brazil-ai-bill-pl-2338-status</t>
  </si>
  <si>
    <t>Brazil — TSE election AI rules</t>
  </si>
  <si>
    <t>The Rio Times — https://www.riotimesonline.com/brazil-election-ai-rules-tse-resolution-2026/</t>
  </si>
  <si>
    <t>India — IT Rules 2026 (synthetic content)</t>
  </si>
  <si>
    <t>Herbert Smith Freehills Kramer — https://www.hlc.com/en/publications/india-introduces-mandatory-labelling-for-ai-and-3hour-takedown-for-illegal-content</t>
  </si>
  <si>
    <t>India — DPDP Rules &amp; AI Governance Guidelines</t>
  </si>
  <si>
    <t>IAPP — https://iapp.org/news/a/notes-from-the-asia-pacific-region-india-releases-dpdpa-rules-ai-governance-guidelines</t>
  </si>
  <si>
    <t>Gulf (UAE, KSA, Qatar, Bahrain, Oman)</t>
  </si>
  <si>
    <t>Modulos — https://www.modulos.ai/middle-east-ai-regulations/</t>
  </si>
  <si>
    <t>Maddocks (Legal 500 guide 2026) — https://www.maddocks.com.au/insights/legal-500-country-comparative-guides-2026-artifical-intelligence</t>
  </si>
  <si>
    <t>Origin PI — https://originpi.com/blog/mas-ai-risk-management-2026/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</si>
</sst>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family val="2"/>
      <charset val="1"/>
    </font>
    <font>
      <b/>
      <sz val="16"/>
      <color rgb="FF1B3A6B"/>
      <name val="Arial"/>
      <charset val="1"/>
    </font>
    <font>
      <i/>
      <sz val="10"/>
      <color rgb="FF2E75B6"/>
      <name val="Arial"/>
      <charset val="1"/>
    </font>
    <font>
      <b/>
      <sz val="10"/>
      <color rgb="FFFFFFFF"/>
      <name val="Arial"/>
      <charset val="1"/>
    </font>
    <font>
      <sz val="10"/>
      <name val="Arial"/>
      <charset val="1"/>
    </font>
    <font>
      <b/>
      <sz val="14"/>
      <color rgb="FF1B3A6B"/>
      <name val="Arial"/>
      <charset val="1"/>
    </font>
    <font>
      <i/>
      <sz val="9"/>
      <color rgb="FF595959"/>
      <name val="Arial"/>
      <charset val="1"/>
    </font>
    <font>
      <b/>
      <sz val="9"/>
      <color rgb="FF000000"/>
      <name val="Arial"/>
      <charset val="1"/>
    </font>
    <font>
      <sz val="9"/>
      <color rgb="FF000000"/>
      <name val="Arial"/>
      <charset val="1"/>
    </font>
    <font>
      <i/>
      <sz val="9"/>
      <color rgb="FFA6A6A6"/>
      <name val="Arial"/>
      <charset val="1"/>
    </font>
    <font>
      <sz val="10"/>
      <color rgb="FF008000"/>
      <name val="Arial"/>
      <charset val="1"/>
    </font>
    <font>
      <b/>
      <sz val="10"/>
      <name val="Arial"/>
      <charset val="1"/>
    </font>
    <font>
      <b/>
      <sz val="10"/>
      <color rgb="FF008000"/>
      <name val="Arial"/>
      <charset val="1"/>
    </font>
    <font>
      <b/>
      <sz val="12"/>
      <color rgb="FF1B3A6B"/>
      <name val="Arial"/>
      <charset val="1"/>
    </font>
  </fonts>
  <fills count="6">
    <fill>
      <patternFill patternType="none"/>
    </fill>
    <fill>
      <patternFill patternType="gray125"/>
    </fill>
    <fill>
      <patternFill patternType="solid">
        <fgColor rgb="FF1B3A6B"/>
        <bgColor rgb="FF333399"/>
      </patternFill>
    </fill>
    <fill>
      <patternFill patternType="solid">
        <fgColor rgb="FFEAF2FA"/>
        <bgColor rgb="FFFAFAFA"/>
      </patternFill>
    </fill>
    <fill>
      <patternFill patternType="solid">
        <fgColor rgb="FFFAFAFA"/>
        <bgColor rgb="FFFFFFFF"/>
      </patternFill>
    </fill>
    <fill>
      <patternFill patternType="solid">
        <fgColor rgb="FFFFF4CE"/>
        <bgColor rgb="FFFAFAFA"/>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3">
    <xf numFmtId="0" fontId="0" fillId="0" borderId="0" xfId="0"/>
    <xf numFmtId="0" fontId="1" fillId="0" borderId="0" xfId="0" applyFont="1"/>
    <xf numFmtId="0" fontId="2" fillId="0" borderId="0" xfId="0" applyFont="1"/>
    <xf numFmtId="0" fontId="3" fillId="2" borderId="1" xfId="0" applyFont="1" applyFill="1" applyBorder="1" applyAlignment="1">
      <alignment vertical="top" wrapText="1"/>
    </xf>
    <xf numFmtId="0" fontId="4" fillId="0" borderId="1" xfId="0" applyFont="1" applyBorder="1" applyAlignment="1">
      <alignment vertical="top" wrapText="1"/>
    </xf>
    <xf numFmtId="0" fontId="6" fillId="0" borderId="0" xfId="0" applyFont="1"/>
    <xf numFmtId="0" fontId="3" fillId="2" borderId="1" xfId="0" applyFont="1" applyFill="1" applyBorder="1" applyAlignment="1">
      <alignment horizontal="center" vertical="center" wrapText="1"/>
    </xf>
    <xf numFmtId="0" fontId="7" fillId="3" borderId="1" xfId="0" applyFont="1" applyFill="1" applyBorder="1" applyAlignment="1">
      <alignment horizontal="left" vertical="top" wrapText="1"/>
    </xf>
    <xf numFmtId="0" fontId="8" fillId="0" borderId="1" xfId="0" applyFont="1" applyBorder="1" applyAlignment="1">
      <alignment horizontal="left" vertical="top" wrapText="1"/>
    </xf>
    <xf numFmtId="0" fontId="8" fillId="4" borderId="1" xfId="0" applyFont="1" applyFill="1" applyBorder="1" applyAlignment="1">
      <alignment horizontal="left" vertical="top" wrapText="1"/>
    </xf>
    <xf numFmtId="0" fontId="8" fillId="5" borderId="1" xfId="0" applyFont="1" applyFill="1" applyBorder="1" applyAlignment="1">
      <alignment horizontal="left" vertical="top" wrapText="1"/>
    </xf>
    <xf numFmtId="0" fontId="9" fillId="0" borderId="1" xfId="0" applyFont="1" applyBorder="1" applyAlignment="1">
      <alignment horizontal="center" vertical="top" wrapText="1"/>
    </xf>
    <xf numFmtId="0" fontId="9" fillId="4" borderId="1" xfId="0" applyFont="1" applyFill="1" applyBorder="1" applyAlignment="1">
      <alignment horizontal="center" vertical="top" wrapText="1"/>
    </xf>
    <xf numFmtId="0" fontId="4" fillId="0" borderId="1" xfId="0" applyFont="1" applyBorder="1" applyAlignment="1">
      <alignment vertical="center" wrapText="1"/>
    </xf>
    <xf numFmtId="0" fontId="10" fillId="0" borderId="1" xfId="0" applyFont="1" applyBorder="1" applyAlignment="1">
      <alignment vertical="center" wrapText="1"/>
    </xf>
    <xf numFmtId="9" fontId="4" fillId="0" borderId="1" xfId="0" applyNumberFormat="1" applyFont="1" applyBorder="1" applyAlignment="1">
      <alignment vertical="center" wrapText="1"/>
    </xf>
    <xf numFmtId="0" fontId="11" fillId="0" borderId="1" xfId="0" applyFont="1" applyBorder="1"/>
    <xf numFmtId="0" fontId="12" fillId="0" borderId="1" xfId="0" applyFont="1" applyBorder="1"/>
    <xf numFmtId="0" fontId="0" fillId="0" borderId="1" xfId="0" applyBorder="1"/>
    <xf numFmtId="0" fontId="13" fillId="0" borderId="0" xfId="0" applyFont="1"/>
    <xf numFmtId="0" fontId="6" fillId="0" borderId="0" xfId="0" applyFont="1" applyAlignment="1">
      <alignment vertical="top" wrapText="1"/>
    </xf>
    <xf numFmtId="0" fontId="5" fillId="0" borderId="0" xfId="0" applyFont="1" applyAlignment="1"/>
    <xf numFmtId="0" fontId="6" fillId="0" borderId="0" xfId="0" applyFont="1" applyAlignme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98D4"/>
      <rgbColor rgb="FFBFBFBF"/>
      <rgbColor rgb="FF808080"/>
      <rgbColor rgb="FF9999FF"/>
      <rgbColor rgb="FF993366"/>
      <rgbColor rgb="FFFFF4CE"/>
      <rgbColor rgb="FFEAF2FA"/>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AFAFA"/>
      <rgbColor rgb="FFCCFFCC"/>
      <rgbColor rgb="FFFFFF99"/>
      <rgbColor rgb="FF99CCFF"/>
      <rgbColor rgb="FFFF99CC"/>
      <rgbColor rgb="FFCC99FF"/>
      <rgbColor rgb="FFFFCC99"/>
      <rgbColor rgb="FF2E75B6"/>
      <rgbColor rgb="FF33CCCC"/>
      <rgbColor rgb="FF99CC00"/>
      <rgbColor rgb="FFFFCC00"/>
      <rgbColor rgb="FFFF9900"/>
      <rgbColor rgb="FFFF6600"/>
      <rgbColor rgb="FF595959"/>
      <rgbColor rgb="FFA6A6A6"/>
      <rgbColor rgb="FF1B3A6B"/>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
  <sheetViews>
    <sheetView showGridLines="0" tabSelected="1" zoomScaleNormal="100" workbookViewId="0"/>
  </sheetViews>
  <sheetFormatPr defaultColWidth="8.7109375" defaultRowHeight="15"/>
  <cols>
    <col min="1" max="1" width="26" customWidth="1"/>
    <col min="2" max="2" width="110" customWidth="1"/>
  </cols>
  <sheetData>
    <row r="1" spans="1:2" ht="19.7">
      <c r="A1" s="1" t="s">
        <v>0</v>
      </c>
    </row>
    <row r="2" spans="1:2">
      <c r="A2" s="2" t="s">
        <v>1</v>
      </c>
    </row>
    <row r="4" spans="1:2" ht="48" customHeight="1">
      <c r="A4" s="3" t="s">
        <v>2</v>
      </c>
      <c r="B4" s="4" t="s">
        <v>3</v>
      </c>
    </row>
    <row r="5" spans="1:2" ht="159.75" customHeight="1">
      <c r="A5" s="3" t="s">
        <v>4</v>
      </c>
      <c r="B5" s="4" t="s">
        <v>5</v>
      </c>
    </row>
    <row r="6" spans="1:2" ht="75.75" customHeight="1">
      <c r="A6" s="3" t="s">
        <v>6</v>
      </c>
      <c r="B6" s="4" t="s">
        <v>7</v>
      </c>
    </row>
    <row r="7" spans="1:2" ht="33.75" customHeight="1">
      <c r="A7" s="3" t="s">
        <v>8</v>
      </c>
      <c r="B7" s="4" t="s">
        <v>9</v>
      </c>
    </row>
    <row r="8" spans="1:2" ht="48" customHeight="1">
      <c r="A8" s="3" t="s">
        <v>10</v>
      </c>
      <c r="B8" s="4" t="s">
        <v>11</v>
      </c>
    </row>
    <row r="9" spans="1:2" ht="48" customHeight="1">
      <c r="A9" s="3" t="s">
        <v>12</v>
      </c>
      <c r="B9" s="4" t="s">
        <v>13</v>
      </c>
    </row>
    <row r="10" spans="1:2" ht="33.75" customHeight="1">
      <c r="A10" s="3" t="s">
        <v>14</v>
      </c>
      <c r="B10" s="4" t="s">
        <v>15</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B3A6B"/>
    <pageSetUpPr fitToPage="1"/>
  </sheetPr>
  <dimension ref="A1:H30"/>
  <sheetViews>
    <sheetView showGridLines="0" zoomScaleNormal="100" workbookViewId="0">
      <pane xSplit="2" ySplit="4" topLeftCell="C5" activePane="bottomRight" state="frozen"/>
      <selection pane="bottomRight"/>
      <selection pane="bottomLeft" activeCell="A5" sqref="A5"/>
      <selection pane="topRight" activeCell="C1" sqref="C1"/>
    </sheetView>
  </sheetViews>
  <sheetFormatPr defaultColWidth="8.7109375" defaultRowHeight="15"/>
  <cols>
    <col min="1" max="1" width="14" customWidth="1"/>
    <col min="2" max="2" width="26" customWidth="1"/>
    <col min="3" max="3" width="13" customWidth="1"/>
    <col min="4" max="4" width="18" customWidth="1"/>
    <col min="5" max="5" width="34" customWidth="1"/>
    <col min="6" max="7" width="44" customWidth="1"/>
    <col min="8" max="8" width="20" customWidth="1"/>
  </cols>
  <sheetData>
    <row r="1" spans="1:8" ht="21.75" customHeight="1">
      <c r="A1" s="21" t="s">
        <v>16</v>
      </c>
      <c r="B1" s="21"/>
      <c r="C1" s="21"/>
      <c r="D1" s="21"/>
      <c r="E1" s="21"/>
      <c r="F1" s="21"/>
      <c r="G1" s="21"/>
      <c r="H1" s="21"/>
    </row>
    <row r="2" spans="1:8">
      <c r="A2" s="22" t="s">
        <v>17</v>
      </c>
      <c r="B2" s="22"/>
      <c r="C2" s="22"/>
      <c r="D2" s="22"/>
      <c r="E2" s="22"/>
      <c r="F2" s="22"/>
      <c r="G2" s="22"/>
      <c r="H2" s="22"/>
    </row>
    <row r="4" spans="1:8">
      <c r="A4" s="6" t="s">
        <v>18</v>
      </c>
      <c r="B4" s="6" t="s">
        <v>19</v>
      </c>
      <c r="C4" s="6" t="s">
        <v>20</v>
      </c>
      <c r="D4" s="6" t="s">
        <v>21</v>
      </c>
      <c r="E4" s="6" t="s">
        <v>22</v>
      </c>
      <c r="F4" s="6" t="s">
        <v>23</v>
      </c>
      <c r="G4" s="6" t="s">
        <v>24</v>
      </c>
      <c r="H4" s="6" t="s">
        <v>25</v>
      </c>
    </row>
    <row r="5" spans="1:8" ht="78.75" customHeight="1">
      <c r="A5" s="7" t="s">
        <v>26</v>
      </c>
      <c r="B5" s="8" t="s">
        <v>27</v>
      </c>
      <c r="C5" s="8" t="s">
        <v>28</v>
      </c>
      <c r="D5" s="8" t="s">
        <v>29</v>
      </c>
      <c r="E5" s="8" t="s">
        <v>30</v>
      </c>
      <c r="F5" s="8" t="s">
        <v>31</v>
      </c>
      <c r="G5" s="8" t="s">
        <v>32</v>
      </c>
      <c r="H5" s="8" t="s">
        <v>33</v>
      </c>
    </row>
    <row r="6" spans="1:8" ht="54" customHeight="1">
      <c r="A6" s="7" t="s">
        <v>26</v>
      </c>
      <c r="B6" s="9" t="s">
        <v>34</v>
      </c>
      <c r="C6" s="9" t="s">
        <v>28</v>
      </c>
      <c r="D6" s="9" t="s">
        <v>29</v>
      </c>
      <c r="E6" s="9" t="s">
        <v>35</v>
      </c>
      <c r="F6" s="9" t="s">
        <v>36</v>
      </c>
      <c r="G6" s="9" t="s">
        <v>37</v>
      </c>
      <c r="H6" s="9" t="s">
        <v>38</v>
      </c>
    </row>
    <row r="7" spans="1:8" ht="54" customHeight="1">
      <c r="A7" s="7" t="s">
        <v>26</v>
      </c>
      <c r="B7" s="8" t="s">
        <v>39</v>
      </c>
      <c r="C7" s="8" t="s">
        <v>28</v>
      </c>
      <c r="D7" s="8" t="s">
        <v>40</v>
      </c>
      <c r="E7" s="8" t="s">
        <v>41</v>
      </c>
      <c r="F7" s="8" t="s">
        <v>42</v>
      </c>
      <c r="G7" s="8" t="s">
        <v>43</v>
      </c>
      <c r="H7" s="8" t="s">
        <v>44</v>
      </c>
    </row>
    <row r="8" spans="1:8" ht="54" customHeight="1">
      <c r="A8" s="7" t="s">
        <v>45</v>
      </c>
      <c r="B8" s="9" t="s">
        <v>46</v>
      </c>
      <c r="C8" s="9" t="s">
        <v>28</v>
      </c>
      <c r="D8" s="9" t="s">
        <v>47</v>
      </c>
      <c r="E8" s="9" t="s">
        <v>48</v>
      </c>
      <c r="F8" s="9" t="s">
        <v>49</v>
      </c>
      <c r="G8" s="9" t="s">
        <v>50</v>
      </c>
      <c r="H8" s="9" t="s">
        <v>51</v>
      </c>
    </row>
    <row r="9" spans="1:8" ht="54" customHeight="1">
      <c r="A9" s="7" t="s">
        <v>52</v>
      </c>
      <c r="B9" s="8" t="s">
        <v>53</v>
      </c>
      <c r="C9" s="8" t="s">
        <v>54</v>
      </c>
      <c r="D9" s="8" t="s">
        <v>55</v>
      </c>
      <c r="E9" s="8" t="s">
        <v>56</v>
      </c>
      <c r="F9" s="8" t="s">
        <v>57</v>
      </c>
      <c r="G9" s="8" t="s">
        <v>58</v>
      </c>
      <c r="H9" s="8" t="s">
        <v>59</v>
      </c>
    </row>
    <row r="10" spans="1:8" ht="54" customHeight="1">
      <c r="A10" s="7" t="s">
        <v>60</v>
      </c>
      <c r="B10" s="9" t="s">
        <v>61</v>
      </c>
      <c r="C10" s="9" t="s">
        <v>28</v>
      </c>
      <c r="D10" s="9" t="s">
        <v>62</v>
      </c>
      <c r="E10" s="9" t="s">
        <v>63</v>
      </c>
      <c r="F10" s="9" t="s">
        <v>64</v>
      </c>
      <c r="G10" s="10" t="s">
        <v>65</v>
      </c>
      <c r="H10" s="9" t="s">
        <v>66</v>
      </c>
    </row>
    <row r="11" spans="1:8" ht="66" customHeight="1">
      <c r="A11" s="7" t="s">
        <v>67</v>
      </c>
      <c r="B11" s="8" t="s">
        <v>68</v>
      </c>
      <c r="C11" s="8" t="s">
        <v>28</v>
      </c>
      <c r="D11" s="8" t="s">
        <v>69</v>
      </c>
      <c r="E11" s="8" t="s">
        <v>70</v>
      </c>
      <c r="F11" s="8" t="s">
        <v>71</v>
      </c>
      <c r="G11" s="8" t="s">
        <v>72</v>
      </c>
      <c r="H11" s="8" t="s">
        <v>73</v>
      </c>
    </row>
    <row r="12" spans="1:8" ht="54" customHeight="1">
      <c r="A12" s="7" t="s">
        <v>74</v>
      </c>
      <c r="B12" s="9" t="s">
        <v>75</v>
      </c>
      <c r="C12" s="9" t="s">
        <v>54</v>
      </c>
      <c r="D12" s="9" t="s">
        <v>76</v>
      </c>
      <c r="E12" s="9" t="s">
        <v>77</v>
      </c>
      <c r="F12" s="9" t="s">
        <v>78</v>
      </c>
      <c r="G12" s="9" t="s">
        <v>79</v>
      </c>
      <c r="H12" s="9" t="s">
        <v>80</v>
      </c>
    </row>
    <row r="13" spans="1:8" ht="41.25" customHeight="1">
      <c r="A13" s="7" t="s">
        <v>81</v>
      </c>
      <c r="B13" s="8" t="s">
        <v>82</v>
      </c>
      <c r="C13" s="8" t="s">
        <v>28</v>
      </c>
      <c r="D13" s="8" t="s">
        <v>83</v>
      </c>
      <c r="E13" s="8" t="s">
        <v>84</v>
      </c>
      <c r="F13" s="8" t="s">
        <v>85</v>
      </c>
      <c r="G13" s="8" t="s">
        <v>86</v>
      </c>
      <c r="H13" s="8" t="s">
        <v>87</v>
      </c>
    </row>
    <row r="14" spans="1:8" ht="41.25" customHeight="1">
      <c r="A14" s="7" t="s">
        <v>88</v>
      </c>
      <c r="B14" s="9" t="s">
        <v>89</v>
      </c>
      <c r="C14" s="9" t="s">
        <v>54</v>
      </c>
      <c r="D14" s="9" t="s">
        <v>90</v>
      </c>
      <c r="E14" s="9" t="s">
        <v>91</v>
      </c>
      <c r="F14" s="9" t="s">
        <v>92</v>
      </c>
      <c r="G14" s="9" t="s">
        <v>93</v>
      </c>
      <c r="H14" s="9" t="s">
        <v>94</v>
      </c>
    </row>
    <row r="15" spans="1:8" ht="41.25" customHeight="1">
      <c r="A15" s="7" t="s">
        <v>88</v>
      </c>
      <c r="B15" s="8" t="s">
        <v>95</v>
      </c>
      <c r="C15" s="8" t="s">
        <v>96</v>
      </c>
      <c r="D15" s="8" t="s">
        <v>90</v>
      </c>
      <c r="E15" s="8" t="s">
        <v>97</v>
      </c>
      <c r="F15" s="8" t="s">
        <v>98</v>
      </c>
      <c r="G15" s="8" t="s">
        <v>99</v>
      </c>
      <c r="H15" s="8" t="s">
        <v>100</v>
      </c>
    </row>
    <row r="16" spans="1:8" ht="41.25" customHeight="1">
      <c r="A16" s="7" t="s">
        <v>88</v>
      </c>
      <c r="B16" s="9" t="s">
        <v>101</v>
      </c>
      <c r="C16" s="9" t="s">
        <v>102</v>
      </c>
      <c r="D16" s="9" t="s">
        <v>103</v>
      </c>
      <c r="E16" s="9" t="s">
        <v>104</v>
      </c>
      <c r="F16" s="9" t="s">
        <v>105</v>
      </c>
      <c r="G16" s="9" t="s">
        <v>106</v>
      </c>
      <c r="H16" s="9" t="s">
        <v>107</v>
      </c>
    </row>
    <row r="17" spans="1:8" ht="41.25" customHeight="1">
      <c r="A17" s="7" t="s">
        <v>88</v>
      </c>
      <c r="B17" s="8" t="s">
        <v>108</v>
      </c>
      <c r="C17" s="8" t="s">
        <v>102</v>
      </c>
      <c r="D17" s="8" t="s">
        <v>109</v>
      </c>
      <c r="E17" s="8" t="s">
        <v>110</v>
      </c>
      <c r="F17" s="8" t="s">
        <v>111</v>
      </c>
      <c r="G17" s="8" t="s">
        <v>112</v>
      </c>
      <c r="H17" s="8" t="s">
        <v>113</v>
      </c>
    </row>
    <row r="18" spans="1:8" ht="28.5" customHeight="1">
      <c r="A18" s="7" t="s">
        <v>114</v>
      </c>
      <c r="B18" s="9" t="s">
        <v>115</v>
      </c>
      <c r="C18" s="9" t="s">
        <v>54</v>
      </c>
      <c r="D18" s="9" t="s">
        <v>116</v>
      </c>
      <c r="E18" s="9" t="s">
        <v>117</v>
      </c>
      <c r="F18" s="9" t="s">
        <v>118</v>
      </c>
      <c r="G18" s="9" t="s">
        <v>119</v>
      </c>
      <c r="H18" s="9" t="s">
        <v>120</v>
      </c>
    </row>
    <row r="19" spans="1:8" ht="41.25" customHeight="1">
      <c r="A19" s="7" t="s">
        <v>114</v>
      </c>
      <c r="B19" s="8" t="s">
        <v>121</v>
      </c>
      <c r="C19" s="8" t="s">
        <v>54</v>
      </c>
      <c r="D19" s="8" t="s">
        <v>122</v>
      </c>
      <c r="E19" s="8" t="s">
        <v>123</v>
      </c>
      <c r="F19" s="8" t="s">
        <v>124</v>
      </c>
      <c r="G19" s="8" t="s">
        <v>125</v>
      </c>
      <c r="H19" s="8" t="s">
        <v>126</v>
      </c>
    </row>
    <row r="20" spans="1:8" ht="66" customHeight="1">
      <c r="A20" s="7" t="s">
        <v>127</v>
      </c>
      <c r="B20" s="9" t="s">
        <v>128</v>
      </c>
      <c r="C20" s="9" t="s">
        <v>28</v>
      </c>
      <c r="D20" s="9" t="s">
        <v>129</v>
      </c>
      <c r="E20" s="9" t="s">
        <v>130</v>
      </c>
      <c r="F20" s="9" t="s">
        <v>131</v>
      </c>
      <c r="G20" s="9" t="s">
        <v>132</v>
      </c>
      <c r="H20" s="9" t="s">
        <v>133</v>
      </c>
    </row>
    <row r="21" spans="1:8" ht="28.5" customHeight="1">
      <c r="A21" s="7" t="s">
        <v>134</v>
      </c>
      <c r="B21" s="8" t="s">
        <v>135</v>
      </c>
      <c r="C21" s="8" t="s">
        <v>136</v>
      </c>
      <c r="D21" s="8" t="s">
        <v>137</v>
      </c>
      <c r="E21" s="8" t="s">
        <v>138</v>
      </c>
      <c r="F21" s="8" t="s">
        <v>139</v>
      </c>
      <c r="G21" s="8" t="s">
        <v>140</v>
      </c>
      <c r="H21" s="11" t="s">
        <v>141</v>
      </c>
    </row>
    <row r="22" spans="1:8" ht="54" customHeight="1">
      <c r="A22" s="7" t="s">
        <v>134</v>
      </c>
      <c r="B22" s="9" t="s">
        <v>142</v>
      </c>
      <c r="C22" s="9" t="s">
        <v>143</v>
      </c>
      <c r="D22" s="9" t="s">
        <v>144</v>
      </c>
      <c r="E22" s="9" t="s">
        <v>145</v>
      </c>
      <c r="F22" s="9" t="s">
        <v>146</v>
      </c>
      <c r="G22" s="9" t="s">
        <v>147</v>
      </c>
      <c r="H22" s="9" t="s">
        <v>148</v>
      </c>
    </row>
    <row r="23" spans="1:8" ht="28.5" customHeight="1">
      <c r="A23" s="7" t="s">
        <v>134</v>
      </c>
      <c r="B23" s="8" t="s">
        <v>149</v>
      </c>
      <c r="C23" s="8" t="s">
        <v>136</v>
      </c>
      <c r="D23" s="8" t="s">
        <v>150</v>
      </c>
      <c r="E23" s="8" t="s">
        <v>151</v>
      </c>
      <c r="F23" s="8" t="s">
        <v>152</v>
      </c>
      <c r="G23" s="8" t="s">
        <v>153</v>
      </c>
      <c r="H23" s="8" t="s">
        <v>154</v>
      </c>
    </row>
    <row r="24" spans="1:8" ht="41.25" customHeight="1">
      <c r="A24" s="7" t="s">
        <v>134</v>
      </c>
      <c r="B24" s="9" t="s">
        <v>155</v>
      </c>
      <c r="C24" s="9" t="s">
        <v>156</v>
      </c>
      <c r="D24" s="9" t="s">
        <v>157</v>
      </c>
      <c r="E24" s="9" t="s">
        <v>158</v>
      </c>
      <c r="F24" s="9" t="s">
        <v>159</v>
      </c>
      <c r="G24" s="9" t="s">
        <v>160</v>
      </c>
      <c r="H24" s="9" t="s">
        <v>161</v>
      </c>
    </row>
    <row r="25" spans="1:8" ht="66" customHeight="1">
      <c r="A25" s="7" t="s">
        <v>134</v>
      </c>
      <c r="B25" s="8" t="s">
        <v>162</v>
      </c>
      <c r="C25" s="8" t="s">
        <v>143</v>
      </c>
      <c r="D25" s="8" t="s">
        <v>137</v>
      </c>
      <c r="E25" s="8" t="s">
        <v>163</v>
      </c>
      <c r="F25" s="8" t="s">
        <v>164</v>
      </c>
      <c r="G25" s="8" t="s">
        <v>165</v>
      </c>
      <c r="H25" s="8" t="s">
        <v>166</v>
      </c>
    </row>
    <row r="26" spans="1:8" ht="41.25" customHeight="1">
      <c r="A26" s="7" t="s">
        <v>167</v>
      </c>
      <c r="B26" s="9" t="s">
        <v>168</v>
      </c>
      <c r="C26" s="9" t="s">
        <v>169</v>
      </c>
      <c r="D26" s="9" t="s">
        <v>170</v>
      </c>
      <c r="E26" s="9" t="s">
        <v>171</v>
      </c>
      <c r="F26" s="9" t="s">
        <v>172</v>
      </c>
      <c r="G26" s="9" t="s">
        <v>173</v>
      </c>
      <c r="H26" s="9" t="s">
        <v>174</v>
      </c>
    </row>
    <row r="27" spans="1:8" ht="41.25" customHeight="1">
      <c r="A27" s="7" t="s">
        <v>167</v>
      </c>
      <c r="B27" s="8" t="s">
        <v>175</v>
      </c>
      <c r="C27" s="8" t="s">
        <v>176</v>
      </c>
      <c r="D27" s="8" t="s">
        <v>177</v>
      </c>
      <c r="E27" s="8" t="s">
        <v>178</v>
      </c>
      <c r="F27" s="8" t="s">
        <v>179</v>
      </c>
      <c r="G27" s="8" t="s">
        <v>180</v>
      </c>
      <c r="H27" s="8" t="s">
        <v>181</v>
      </c>
    </row>
    <row r="28" spans="1:8" ht="41.25" customHeight="1">
      <c r="A28" s="7" t="s">
        <v>182</v>
      </c>
      <c r="B28" s="9" t="s">
        <v>183</v>
      </c>
      <c r="C28" s="9" t="s">
        <v>184</v>
      </c>
      <c r="D28" s="12" t="s">
        <v>141</v>
      </c>
      <c r="E28" s="9" t="s">
        <v>185</v>
      </c>
      <c r="F28" s="9" t="s">
        <v>186</v>
      </c>
      <c r="G28" s="9" t="s">
        <v>187</v>
      </c>
      <c r="H28" s="9" t="s">
        <v>188</v>
      </c>
    </row>
    <row r="29" spans="1:8" ht="28.5" customHeight="1">
      <c r="A29" s="7" t="s">
        <v>182</v>
      </c>
      <c r="B29" s="8" t="s">
        <v>189</v>
      </c>
      <c r="C29" s="8" t="s">
        <v>184</v>
      </c>
      <c r="D29" s="8" t="s">
        <v>190</v>
      </c>
      <c r="E29" s="8" t="s">
        <v>191</v>
      </c>
      <c r="F29" s="8" t="s">
        <v>192</v>
      </c>
      <c r="G29" s="8" t="s">
        <v>193</v>
      </c>
      <c r="H29" s="8" t="s">
        <v>194</v>
      </c>
    </row>
    <row r="30" spans="1:8" ht="28.5" customHeight="1">
      <c r="A30" s="7" t="s">
        <v>182</v>
      </c>
      <c r="B30" s="9" t="s">
        <v>195</v>
      </c>
      <c r="C30" s="9" t="s">
        <v>184</v>
      </c>
      <c r="D30" s="12" t="s">
        <v>141</v>
      </c>
      <c r="E30" s="9" t="s">
        <v>196</v>
      </c>
      <c r="F30" s="9" t="s">
        <v>197</v>
      </c>
      <c r="G30" s="9" t="s">
        <v>198</v>
      </c>
      <c r="H30" s="9" t="s">
        <v>199</v>
      </c>
    </row>
  </sheetData>
  <autoFilter ref="A4:H30" xr:uid="{00000000-0009-0000-0000-000001000000}"/>
  <mergeCells count="2">
    <mergeCell ref="A1:H1"/>
    <mergeCell ref="A2:H2"/>
  </mergeCells>
  <pageMargins left="0.75" right="0.75" top="1" bottom="1" header="0.511811023622047" footer="0.511811023622047"/>
  <pageSetup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B3A6B"/>
    <pageSetUpPr fitToPage="1"/>
  </sheetPr>
  <dimension ref="A1:J30"/>
  <sheetViews>
    <sheetView showGridLines="0" zoomScaleNormal="100" workbookViewId="0">
      <pane xSplit="1" ySplit="4" topLeftCell="B5" activePane="bottomRight" state="frozen"/>
      <selection pane="bottomRight"/>
      <selection pane="bottomLeft" activeCell="A5" sqref="A5"/>
      <selection pane="topRight" activeCell="B1" sqref="B1"/>
    </sheetView>
  </sheetViews>
  <sheetFormatPr defaultColWidth="8.7109375" defaultRowHeight="15"/>
  <cols>
    <col min="1" max="1" width="15" customWidth="1"/>
    <col min="2" max="3" width="40" customWidth="1"/>
    <col min="4" max="4" width="34" customWidth="1"/>
    <col min="5" max="6" width="38" customWidth="1"/>
    <col min="7" max="7" width="36" customWidth="1"/>
    <col min="8" max="8" width="38" customWidth="1"/>
    <col min="9" max="9" width="34" customWidth="1"/>
    <col min="10" max="10" width="36" customWidth="1"/>
  </cols>
  <sheetData>
    <row r="1" spans="1:10" ht="21.75" customHeight="1">
      <c r="A1" s="21" t="s">
        <v>200</v>
      </c>
      <c r="B1" s="21"/>
      <c r="C1" s="21"/>
      <c r="D1" s="21"/>
      <c r="E1" s="21"/>
      <c r="F1" s="21"/>
      <c r="G1" s="21"/>
      <c r="H1" s="21"/>
      <c r="I1" s="21"/>
      <c r="J1" s="21"/>
    </row>
    <row r="2" spans="1:10">
      <c r="A2" s="22" t="s">
        <v>201</v>
      </c>
      <c r="B2" s="22"/>
      <c r="C2" s="22"/>
      <c r="D2" s="22"/>
      <c r="E2" s="22"/>
      <c r="F2" s="22"/>
      <c r="G2" s="22"/>
      <c r="H2" s="22"/>
      <c r="I2" s="22"/>
      <c r="J2" s="22"/>
    </row>
    <row r="4" spans="1:10" ht="23.85">
      <c r="A4" s="6" t="s">
        <v>202</v>
      </c>
      <c r="B4" s="6" t="s">
        <v>203</v>
      </c>
      <c r="C4" s="6" t="s">
        <v>204</v>
      </c>
      <c r="D4" s="6" t="s">
        <v>205</v>
      </c>
      <c r="E4" s="6" t="s">
        <v>206</v>
      </c>
      <c r="F4" s="6" t="s">
        <v>207</v>
      </c>
      <c r="G4" s="6" t="s">
        <v>208</v>
      </c>
      <c r="H4" s="6" t="s">
        <v>209</v>
      </c>
      <c r="I4" s="6" t="s">
        <v>210</v>
      </c>
      <c r="J4" s="6" t="s">
        <v>211</v>
      </c>
    </row>
    <row r="5" spans="1:10" ht="153.75" customHeight="1">
      <c r="A5" s="7" t="s">
        <v>212</v>
      </c>
      <c r="B5" s="8" t="s">
        <v>213</v>
      </c>
      <c r="C5" s="8" t="s">
        <v>214</v>
      </c>
      <c r="D5" s="8" t="s">
        <v>215</v>
      </c>
      <c r="E5" s="8" t="s">
        <v>216</v>
      </c>
      <c r="F5" s="8" t="s">
        <v>217</v>
      </c>
      <c r="G5" s="8" t="s">
        <v>218</v>
      </c>
      <c r="H5" s="8" t="s">
        <v>219</v>
      </c>
      <c r="I5" s="10" t="s">
        <v>220</v>
      </c>
      <c r="J5" s="8" t="s">
        <v>221</v>
      </c>
    </row>
    <row r="6" spans="1:10" ht="216" customHeight="1">
      <c r="A6" s="7" t="s">
        <v>222</v>
      </c>
      <c r="B6" s="9" t="s">
        <v>223</v>
      </c>
      <c r="C6" s="9" t="s">
        <v>224</v>
      </c>
      <c r="D6" s="9" t="s">
        <v>225</v>
      </c>
      <c r="E6" s="9" t="s">
        <v>226</v>
      </c>
      <c r="F6" s="9" t="s">
        <v>227</v>
      </c>
      <c r="G6" s="9" t="s">
        <v>228</v>
      </c>
      <c r="H6" s="12" t="s">
        <v>141</v>
      </c>
      <c r="I6" s="9" t="s">
        <v>229</v>
      </c>
      <c r="J6" s="9" t="s">
        <v>230</v>
      </c>
    </row>
    <row r="7" spans="1:10" ht="129" customHeight="1">
      <c r="A7" s="7" t="s">
        <v>231</v>
      </c>
      <c r="B7" s="8" t="s">
        <v>232</v>
      </c>
      <c r="C7" s="8" t="s">
        <v>233</v>
      </c>
      <c r="D7" s="8" t="s">
        <v>234</v>
      </c>
      <c r="E7" s="11" t="s">
        <v>141</v>
      </c>
      <c r="F7" s="8" t="s">
        <v>235</v>
      </c>
      <c r="G7" s="8" t="s">
        <v>236</v>
      </c>
      <c r="H7" s="8" t="s">
        <v>237</v>
      </c>
      <c r="I7" s="8" t="s">
        <v>238</v>
      </c>
      <c r="J7" s="8" t="s">
        <v>239</v>
      </c>
    </row>
    <row r="8" spans="1:10" ht="141" customHeight="1">
      <c r="A8" s="7" t="s">
        <v>240</v>
      </c>
      <c r="B8" s="12" t="s">
        <v>141</v>
      </c>
      <c r="C8" s="9" t="s">
        <v>241</v>
      </c>
      <c r="D8" s="12" t="s">
        <v>141</v>
      </c>
      <c r="E8" s="9" t="s">
        <v>242</v>
      </c>
      <c r="F8" s="12" t="s">
        <v>141</v>
      </c>
      <c r="G8" s="9" t="s">
        <v>243</v>
      </c>
      <c r="H8" s="9" t="s">
        <v>244</v>
      </c>
      <c r="I8" s="9" t="s">
        <v>245</v>
      </c>
      <c r="J8" s="9" t="s">
        <v>246</v>
      </c>
    </row>
    <row r="9" spans="1:10" ht="141" customHeight="1">
      <c r="A9" s="7" t="s">
        <v>247</v>
      </c>
      <c r="B9" s="11" t="s">
        <v>141</v>
      </c>
      <c r="C9" s="10" t="s">
        <v>248</v>
      </c>
      <c r="D9" s="8" t="s">
        <v>249</v>
      </c>
      <c r="E9" s="11" t="s">
        <v>141</v>
      </c>
      <c r="F9" s="8" t="s">
        <v>250</v>
      </c>
      <c r="G9" s="8" t="s">
        <v>251</v>
      </c>
      <c r="H9" s="8" t="s">
        <v>252</v>
      </c>
      <c r="I9" s="8" t="s">
        <v>253</v>
      </c>
      <c r="J9" s="8" t="s">
        <v>254</v>
      </c>
    </row>
    <row r="10" spans="1:10" ht="166.5" customHeight="1">
      <c r="A10" s="7" t="s">
        <v>255</v>
      </c>
      <c r="B10" s="9" t="s">
        <v>256</v>
      </c>
      <c r="C10" s="9" t="s">
        <v>257</v>
      </c>
      <c r="D10" s="9" t="s">
        <v>258</v>
      </c>
      <c r="E10" s="9" t="s">
        <v>259</v>
      </c>
      <c r="F10" s="12" t="s">
        <v>141</v>
      </c>
      <c r="G10" s="9" t="s">
        <v>260</v>
      </c>
      <c r="H10" s="12" t="s">
        <v>141</v>
      </c>
      <c r="I10" s="9" t="s">
        <v>261</v>
      </c>
      <c r="J10" s="9" t="s">
        <v>262</v>
      </c>
    </row>
    <row r="11" spans="1:10" ht="103.5" customHeight="1">
      <c r="A11" s="7" t="s">
        <v>263</v>
      </c>
      <c r="B11" s="8" t="s">
        <v>264</v>
      </c>
      <c r="C11" s="11" t="s">
        <v>141</v>
      </c>
      <c r="D11" s="8" t="s">
        <v>265</v>
      </c>
      <c r="E11" s="8" t="s">
        <v>266</v>
      </c>
      <c r="F11" s="8" t="s">
        <v>267</v>
      </c>
      <c r="G11" s="8" t="s">
        <v>268</v>
      </c>
      <c r="H11" s="11" t="s">
        <v>141</v>
      </c>
      <c r="I11" s="11" t="s">
        <v>141</v>
      </c>
      <c r="J11" s="8" t="s">
        <v>269</v>
      </c>
    </row>
    <row r="12" spans="1:10" ht="54" customHeight="1">
      <c r="A12" s="7" t="s">
        <v>270</v>
      </c>
      <c r="B12" s="12" t="s">
        <v>141</v>
      </c>
      <c r="C12" s="9" t="s">
        <v>271</v>
      </c>
      <c r="D12" s="9" t="s">
        <v>272</v>
      </c>
      <c r="E12" s="12" t="s">
        <v>141</v>
      </c>
      <c r="F12" s="12" t="s">
        <v>141</v>
      </c>
      <c r="G12" s="12" t="s">
        <v>141</v>
      </c>
      <c r="H12" s="12" t="s">
        <v>141</v>
      </c>
      <c r="I12" s="9" t="s">
        <v>273</v>
      </c>
      <c r="J12" s="9" t="s">
        <v>274</v>
      </c>
    </row>
    <row r="13" spans="1:10" ht="91.5" customHeight="1">
      <c r="A13" s="7" t="s">
        <v>275</v>
      </c>
      <c r="B13" s="11" t="s">
        <v>141</v>
      </c>
      <c r="C13" s="8" t="s">
        <v>276</v>
      </c>
      <c r="D13" s="8" t="s">
        <v>277</v>
      </c>
      <c r="E13" s="11" t="s">
        <v>141</v>
      </c>
      <c r="F13" s="8" t="s">
        <v>278</v>
      </c>
      <c r="G13" s="8" t="s">
        <v>279</v>
      </c>
      <c r="H13" s="11" t="s">
        <v>141</v>
      </c>
      <c r="I13" s="11" t="s">
        <v>141</v>
      </c>
      <c r="J13" s="11" t="s">
        <v>141</v>
      </c>
    </row>
    <row r="14" spans="1:10" ht="66" customHeight="1">
      <c r="A14" s="7" t="s">
        <v>280</v>
      </c>
      <c r="B14" s="9" t="s">
        <v>281</v>
      </c>
      <c r="C14" s="12" t="s">
        <v>141</v>
      </c>
      <c r="D14" s="9" t="s">
        <v>282</v>
      </c>
      <c r="E14" s="12" t="s">
        <v>141</v>
      </c>
      <c r="F14" s="12" t="s">
        <v>141</v>
      </c>
      <c r="G14" s="12" t="s">
        <v>141</v>
      </c>
      <c r="H14" s="12" t="s">
        <v>141</v>
      </c>
      <c r="I14" s="12" t="s">
        <v>141</v>
      </c>
      <c r="J14" s="9" t="s">
        <v>283</v>
      </c>
    </row>
    <row r="15" spans="1:10" ht="54" customHeight="1">
      <c r="A15" s="7" t="s">
        <v>284</v>
      </c>
      <c r="B15" s="11" t="s">
        <v>141</v>
      </c>
      <c r="C15" s="11" t="s">
        <v>141</v>
      </c>
      <c r="D15" s="8" t="s">
        <v>285</v>
      </c>
      <c r="E15" s="8" t="s">
        <v>286</v>
      </c>
      <c r="F15" s="8" t="s">
        <v>287</v>
      </c>
      <c r="G15" s="10" t="s">
        <v>288</v>
      </c>
      <c r="H15" s="11" t="s">
        <v>141</v>
      </c>
      <c r="I15" s="8" t="s">
        <v>289</v>
      </c>
      <c r="J15" s="8" t="s">
        <v>290</v>
      </c>
    </row>
    <row r="16" spans="1:10" ht="54" customHeight="1">
      <c r="A16" s="7" t="s">
        <v>291</v>
      </c>
      <c r="B16" s="12" t="s">
        <v>141</v>
      </c>
      <c r="C16" s="12" t="s">
        <v>141</v>
      </c>
      <c r="D16" s="9" t="s">
        <v>292</v>
      </c>
      <c r="E16" s="9" t="s">
        <v>293</v>
      </c>
      <c r="F16" s="9" t="s">
        <v>294</v>
      </c>
      <c r="G16" s="9" t="s">
        <v>295</v>
      </c>
      <c r="H16" s="12" t="s">
        <v>141</v>
      </c>
      <c r="I16" s="12" t="s">
        <v>141</v>
      </c>
      <c r="J16" s="12" t="s">
        <v>141</v>
      </c>
    </row>
    <row r="17" spans="1:10" ht="66" customHeight="1">
      <c r="A17" s="7" t="s">
        <v>296</v>
      </c>
      <c r="B17" s="11" t="s">
        <v>141</v>
      </c>
      <c r="C17" s="11" t="s">
        <v>141</v>
      </c>
      <c r="D17" s="8" t="s">
        <v>297</v>
      </c>
      <c r="E17" s="11" t="s">
        <v>141</v>
      </c>
      <c r="F17" s="11" t="s">
        <v>141</v>
      </c>
      <c r="G17" s="8" t="s">
        <v>298</v>
      </c>
      <c r="H17" s="11" t="s">
        <v>141</v>
      </c>
      <c r="I17" s="11" t="s">
        <v>141</v>
      </c>
      <c r="J17" s="11" t="s">
        <v>141</v>
      </c>
    </row>
    <row r="18" spans="1:10" ht="41.25" customHeight="1">
      <c r="A18" s="7" t="s">
        <v>299</v>
      </c>
      <c r="B18" s="12" t="s">
        <v>141</v>
      </c>
      <c r="C18" s="12" t="s">
        <v>141</v>
      </c>
      <c r="D18" s="9" t="s">
        <v>300</v>
      </c>
      <c r="E18" s="9" t="s">
        <v>301</v>
      </c>
      <c r="F18" s="9" t="s">
        <v>302</v>
      </c>
      <c r="G18" s="9" t="s">
        <v>303</v>
      </c>
      <c r="H18" s="12" t="s">
        <v>141</v>
      </c>
      <c r="I18" s="12" t="s">
        <v>141</v>
      </c>
      <c r="J18" s="12" t="s">
        <v>141</v>
      </c>
    </row>
    <row r="19" spans="1:10" ht="28.5" customHeight="1">
      <c r="A19" s="7" t="s">
        <v>304</v>
      </c>
      <c r="B19" s="11" t="s">
        <v>141</v>
      </c>
      <c r="C19" s="11" t="s">
        <v>141</v>
      </c>
      <c r="D19" s="11" t="s">
        <v>141</v>
      </c>
      <c r="E19" s="8" t="s">
        <v>305</v>
      </c>
      <c r="F19" s="8" t="s">
        <v>306</v>
      </c>
      <c r="G19" s="11" t="s">
        <v>141</v>
      </c>
      <c r="H19" s="11" t="s">
        <v>141</v>
      </c>
      <c r="I19" s="11" t="s">
        <v>141</v>
      </c>
      <c r="J19" s="11" t="s">
        <v>141</v>
      </c>
    </row>
    <row r="20" spans="1:10" ht="41.25" customHeight="1">
      <c r="A20" s="7" t="s">
        <v>307</v>
      </c>
      <c r="B20" s="12" t="s">
        <v>141</v>
      </c>
      <c r="C20" s="12" t="s">
        <v>141</v>
      </c>
      <c r="D20" s="9" t="s">
        <v>308</v>
      </c>
      <c r="E20" s="9" t="s">
        <v>309</v>
      </c>
      <c r="F20" s="9" t="s">
        <v>310</v>
      </c>
      <c r="G20" s="12" t="s">
        <v>141</v>
      </c>
      <c r="H20" s="12" t="s">
        <v>141</v>
      </c>
      <c r="I20" s="12" t="s">
        <v>141</v>
      </c>
      <c r="J20" s="12" t="s">
        <v>141</v>
      </c>
    </row>
    <row r="21" spans="1:10" ht="54" customHeight="1">
      <c r="A21" s="7" t="s">
        <v>311</v>
      </c>
      <c r="B21" s="11" t="s">
        <v>141</v>
      </c>
      <c r="C21" s="11" t="s">
        <v>141</v>
      </c>
      <c r="D21" s="11" t="s">
        <v>141</v>
      </c>
      <c r="E21" s="8" t="s">
        <v>312</v>
      </c>
      <c r="F21" s="11" t="s">
        <v>141</v>
      </c>
      <c r="G21" s="11" t="s">
        <v>141</v>
      </c>
      <c r="H21" s="11" t="s">
        <v>141</v>
      </c>
      <c r="I21" s="11" t="s">
        <v>141</v>
      </c>
      <c r="J21" s="8" t="s">
        <v>313</v>
      </c>
    </row>
    <row r="22" spans="1:10" ht="41.25" customHeight="1">
      <c r="A22" s="7" t="s">
        <v>314</v>
      </c>
      <c r="B22" s="12" t="s">
        <v>141</v>
      </c>
      <c r="C22" s="12" t="s">
        <v>141</v>
      </c>
      <c r="D22" s="9" t="s">
        <v>315</v>
      </c>
      <c r="E22" s="12" t="s">
        <v>141</v>
      </c>
      <c r="F22" s="9" t="s">
        <v>316</v>
      </c>
      <c r="G22" s="12" t="s">
        <v>141</v>
      </c>
      <c r="H22" s="12" t="s">
        <v>141</v>
      </c>
      <c r="I22" s="9" t="s">
        <v>317</v>
      </c>
      <c r="J22" s="12" t="s">
        <v>141</v>
      </c>
    </row>
    <row r="23" spans="1:10" ht="41.25" customHeight="1">
      <c r="A23" s="7" t="s">
        <v>318</v>
      </c>
      <c r="B23" s="11" t="s">
        <v>141</v>
      </c>
      <c r="C23" s="11" t="s">
        <v>141</v>
      </c>
      <c r="D23" s="8" t="s">
        <v>319</v>
      </c>
      <c r="E23" s="11" t="s">
        <v>141</v>
      </c>
      <c r="F23" s="8" t="s">
        <v>320</v>
      </c>
      <c r="G23" s="11" t="s">
        <v>141</v>
      </c>
      <c r="H23" s="11" t="s">
        <v>141</v>
      </c>
      <c r="I23" s="11" t="s">
        <v>141</v>
      </c>
      <c r="J23" s="11" t="s">
        <v>141</v>
      </c>
    </row>
    <row r="24" spans="1:10" ht="41.25" customHeight="1">
      <c r="A24" s="7" t="s">
        <v>321</v>
      </c>
      <c r="B24" s="12" t="s">
        <v>141</v>
      </c>
      <c r="C24" s="12" t="s">
        <v>141</v>
      </c>
      <c r="D24" s="12" t="s">
        <v>141</v>
      </c>
      <c r="E24" s="12" t="s">
        <v>141</v>
      </c>
      <c r="F24" s="9" t="s">
        <v>322</v>
      </c>
      <c r="G24" s="12" t="s">
        <v>141</v>
      </c>
      <c r="H24" s="12" t="s">
        <v>141</v>
      </c>
      <c r="I24" s="12" t="s">
        <v>141</v>
      </c>
      <c r="J24" s="9" t="s">
        <v>323</v>
      </c>
    </row>
    <row r="25" spans="1:10" ht="28.5" customHeight="1">
      <c r="A25" s="7" t="s">
        <v>324</v>
      </c>
      <c r="B25" s="11" t="s">
        <v>141</v>
      </c>
      <c r="C25" s="11" t="s">
        <v>141</v>
      </c>
      <c r="D25" s="11" t="s">
        <v>141</v>
      </c>
      <c r="E25" s="11" t="s">
        <v>141</v>
      </c>
      <c r="F25" s="8" t="s">
        <v>325</v>
      </c>
      <c r="G25" s="11" t="s">
        <v>141</v>
      </c>
      <c r="H25" s="11" t="s">
        <v>141</v>
      </c>
      <c r="I25" s="11" t="s">
        <v>141</v>
      </c>
      <c r="J25" s="11" t="s">
        <v>141</v>
      </c>
    </row>
    <row r="26" spans="1:10" ht="41.25" customHeight="1">
      <c r="A26" s="7" t="s">
        <v>326</v>
      </c>
      <c r="B26" s="12" t="s">
        <v>141</v>
      </c>
      <c r="C26" s="12" t="s">
        <v>141</v>
      </c>
      <c r="D26" s="12" t="s">
        <v>141</v>
      </c>
      <c r="E26" s="12" t="s">
        <v>141</v>
      </c>
      <c r="F26" s="9" t="s">
        <v>327</v>
      </c>
      <c r="G26" s="12" t="s">
        <v>141</v>
      </c>
      <c r="H26" s="12" t="s">
        <v>141</v>
      </c>
      <c r="I26" s="12" t="s">
        <v>141</v>
      </c>
      <c r="J26" s="9" t="s">
        <v>328</v>
      </c>
    </row>
    <row r="27" spans="1:10" ht="28.5" customHeight="1">
      <c r="A27" s="7" t="s">
        <v>329</v>
      </c>
      <c r="B27" s="11" t="s">
        <v>141</v>
      </c>
      <c r="C27" s="11" t="s">
        <v>141</v>
      </c>
      <c r="D27" s="11" t="s">
        <v>141</v>
      </c>
      <c r="E27" s="11" t="s">
        <v>141</v>
      </c>
      <c r="F27" s="11" t="s">
        <v>141</v>
      </c>
      <c r="G27" s="11" t="s">
        <v>141</v>
      </c>
      <c r="H27" s="11" t="s">
        <v>141</v>
      </c>
      <c r="I27" s="8" t="s">
        <v>330</v>
      </c>
      <c r="J27" s="11" t="s">
        <v>141</v>
      </c>
    </row>
    <row r="28" spans="1:10" ht="66" customHeight="1">
      <c r="A28" s="7" t="s">
        <v>331</v>
      </c>
      <c r="B28" s="12" t="s">
        <v>141</v>
      </c>
      <c r="C28" s="12" t="s">
        <v>141</v>
      </c>
      <c r="D28" s="9" t="s">
        <v>332</v>
      </c>
      <c r="E28" s="12" t="s">
        <v>141</v>
      </c>
      <c r="F28" s="12" t="s">
        <v>141</v>
      </c>
      <c r="G28" s="12" t="s">
        <v>141</v>
      </c>
      <c r="H28" s="12" t="s">
        <v>141</v>
      </c>
      <c r="I28" s="12" t="s">
        <v>141</v>
      </c>
      <c r="J28" s="9" t="s">
        <v>333</v>
      </c>
    </row>
    <row r="29" spans="1:10" ht="54" customHeight="1">
      <c r="A29" s="7" t="s">
        <v>334</v>
      </c>
      <c r="B29" s="11" t="s">
        <v>141</v>
      </c>
      <c r="C29" s="11" t="s">
        <v>141</v>
      </c>
      <c r="D29" s="8" t="s">
        <v>335</v>
      </c>
      <c r="E29" s="11" t="s">
        <v>141</v>
      </c>
      <c r="F29" s="8" t="s">
        <v>336</v>
      </c>
      <c r="G29" s="10" t="s">
        <v>337</v>
      </c>
      <c r="H29" s="11" t="s">
        <v>141</v>
      </c>
      <c r="I29" s="11" t="s">
        <v>141</v>
      </c>
      <c r="J29" s="11" t="s">
        <v>141</v>
      </c>
    </row>
    <row r="30" spans="1:10" ht="54" customHeight="1">
      <c r="A30" s="7" t="s">
        <v>338</v>
      </c>
      <c r="B30" s="9" t="s">
        <v>339</v>
      </c>
      <c r="C30" s="12" t="s">
        <v>141</v>
      </c>
      <c r="D30" s="12" t="s">
        <v>141</v>
      </c>
      <c r="E30" s="12" t="s">
        <v>141</v>
      </c>
      <c r="F30" s="9" t="s">
        <v>340</v>
      </c>
      <c r="G30" s="12" t="s">
        <v>141</v>
      </c>
      <c r="H30" s="9" t="s">
        <v>341</v>
      </c>
      <c r="I30" s="12" t="s">
        <v>141</v>
      </c>
      <c r="J30" s="12" t="s">
        <v>141</v>
      </c>
    </row>
  </sheetData>
  <autoFilter ref="A4:J30" xr:uid="{00000000-0009-0000-0000-000002000000}"/>
  <mergeCells count="2">
    <mergeCell ref="A1:J1"/>
    <mergeCell ref="A2:J2"/>
  </mergeCells>
  <pageMargins left="0.75" right="0.75" top="1" bottom="1" header="0.511811023622047" footer="0.511811023622047"/>
  <pageSetup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98D4"/>
    <pageSetUpPr fitToPage="1"/>
  </sheetPr>
  <dimension ref="A1:J16"/>
  <sheetViews>
    <sheetView showGridLines="0" zoomScaleNormal="100" workbookViewId="0">
      <pane xSplit="1" ySplit="4" topLeftCell="B5" activePane="bottomRight" state="frozen"/>
      <selection pane="bottomRight"/>
      <selection pane="bottomLeft" activeCell="A5" sqref="A5"/>
      <selection pane="topRight" activeCell="B1" sqref="B1"/>
    </sheetView>
  </sheetViews>
  <sheetFormatPr defaultColWidth="8.7109375" defaultRowHeight="15"/>
  <cols>
    <col min="1" max="1" width="16" customWidth="1"/>
    <col min="2" max="2" width="36" customWidth="1"/>
    <col min="3" max="3" width="34" customWidth="1"/>
    <col min="4" max="4" width="36" customWidth="1"/>
    <col min="5" max="6" width="30" customWidth="1"/>
    <col min="7" max="8" width="34" customWidth="1"/>
    <col min="9" max="9" width="30" customWidth="1"/>
    <col min="10" max="10" width="32" customWidth="1"/>
  </cols>
  <sheetData>
    <row r="1" spans="1:10" ht="21.75" customHeight="1">
      <c r="A1" s="21" t="s">
        <v>342</v>
      </c>
      <c r="B1" s="21"/>
      <c r="C1" s="21"/>
      <c r="D1" s="21"/>
      <c r="E1" s="21"/>
      <c r="F1" s="21"/>
      <c r="G1" s="21"/>
      <c r="H1" s="21"/>
      <c r="I1" s="21"/>
      <c r="J1" s="21"/>
    </row>
    <row r="2" spans="1:10">
      <c r="A2" s="22" t="s">
        <v>343</v>
      </c>
      <c r="B2" s="22"/>
      <c r="C2" s="22"/>
      <c r="D2" s="22"/>
      <c r="E2" s="22"/>
      <c r="F2" s="22"/>
      <c r="G2" s="22"/>
      <c r="H2" s="22"/>
      <c r="I2" s="22"/>
      <c r="J2" s="22"/>
    </row>
    <row r="4" spans="1:10" ht="23.85">
      <c r="A4" s="6" t="s">
        <v>344</v>
      </c>
      <c r="B4" s="6" t="s">
        <v>345</v>
      </c>
      <c r="C4" s="6" t="s">
        <v>204</v>
      </c>
      <c r="D4" s="6" t="s">
        <v>346</v>
      </c>
      <c r="E4" s="6" t="s">
        <v>206</v>
      </c>
      <c r="F4" s="6" t="s">
        <v>207</v>
      </c>
      <c r="G4" s="6" t="s">
        <v>208</v>
      </c>
      <c r="H4" s="6" t="s">
        <v>347</v>
      </c>
      <c r="I4" s="6" t="s">
        <v>348</v>
      </c>
      <c r="J4" s="6" t="s">
        <v>349</v>
      </c>
    </row>
    <row r="5" spans="1:10" ht="78.75" customHeight="1">
      <c r="A5" s="7" t="s">
        <v>350</v>
      </c>
      <c r="B5" s="8" t="s">
        <v>351</v>
      </c>
      <c r="C5" s="8" t="s">
        <v>352</v>
      </c>
      <c r="D5" s="8" t="s">
        <v>353</v>
      </c>
      <c r="E5" s="8" t="s">
        <v>354</v>
      </c>
      <c r="F5" s="8" t="s">
        <v>355</v>
      </c>
      <c r="G5" s="8" t="s">
        <v>356</v>
      </c>
      <c r="H5" s="8" t="s">
        <v>357</v>
      </c>
      <c r="I5" s="8" t="s">
        <v>358</v>
      </c>
      <c r="J5" s="8" t="s">
        <v>359</v>
      </c>
    </row>
    <row r="6" spans="1:10" ht="66" customHeight="1">
      <c r="A6" s="7" t="s">
        <v>360</v>
      </c>
      <c r="B6" s="9" t="s">
        <v>361</v>
      </c>
      <c r="C6" s="9" t="s">
        <v>362</v>
      </c>
      <c r="D6" s="9" t="s">
        <v>363</v>
      </c>
      <c r="E6" s="9" t="s">
        <v>364</v>
      </c>
      <c r="F6" s="9" t="s">
        <v>365</v>
      </c>
      <c r="G6" s="9" t="s">
        <v>366</v>
      </c>
      <c r="H6" s="9" t="s">
        <v>367</v>
      </c>
      <c r="I6" s="9" t="s">
        <v>368</v>
      </c>
      <c r="J6" s="9" t="s">
        <v>369</v>
      </c>
    </row>
    <row r="7" spans="1:10" ht="41.25" customHeight="1">
      <c r="A7" s="7" t="s">
        <v>370</v>
      </c>
      <c r="B7" s="8" t="s">
        <v>371</v>
      </c>
      <c r="C7" s="8" t="s">
        <v>372</v>
      </c>
      <c r="D7" s="8" t="s">
        <v>373</v>
      </c>
      <c r="E7" s="11" t="s">
        <v>141</v>
      </c>
      <c r="F7" s="8" t="s">
        <v>374</v>
      </c>
      <c r="G7" s="8" t="s">
        <v>375</v>
      </c>
      <c r="H7" s="8" t="s">
        <v>376</v>
      </c>
      <c r="I7" s="8" t="s">
        <v>377</v>
      </c>
      <c r="J7" s="8" t="s">
        <v>378</v>
      </c>
    </row>
    <row r="8" spans="1:10" ht="54" customHeight="1">
      <c r="A8" s="7" t="s">
        <v>379</v>
      </c>
      <c r="B8" s="9" t="s">
        <v>380</v>
      </c>
      <c r="C8" s="9" t="s">
        <v>381</v>
      </c>
      <c r="D8" s="9" t="s">
        <v>382</v>
      </c>
      <c r="E8" s="12" t="s">
        <v>141</v>
      </c>
      <c r="F8" s="9" t="s">
        <v>383</v>
      </c>
      <c r="G8" s="9" t="s">
        <v>384</v>
      </c>
      <c r="H8" s="12" t="s">
        <v>141</v>
      </c>
      <c r="I8" s="12" t="s">
        <v>141</v>
      </c>
      <c r="J8" s="9" t="s">
        <v>385</v>
      </c>
    </row>
    <row r="9" spans="1:10" ht="54" customHeight="1">
      <c r="A9" s="7" t="s">
        <v>386</v>
      </c>
      <c r="B9" s="8" t="s">
        <v>387</v>
      </c>
      <c r="C9" s="8" t="s">
        <v>388</v>
      </c>
      <c r="D9" s="8" t="s">
        <v>389</v>
      </c>
      <c r="E9" s="11" t="s">
        <v>141</v>
      </c>
      <c r="F9" s="8" t="s">
        <v>390</v>
      </c>
      <c r="G9" s="8" t="s">
        <v>391</v>
      </c>
      <c r="H9" s="8" t="s">
        <v>392</v>
      </c>
      <c r="I9" s="8" t="s">
        <v>393</v>
      </c>
      <c r="J9" s="8" t="s">
        <v>394</v>
      </c>
    </row>
    <row r="10" spans="1:10" ht="66" customHeight="1">
      <c r="A10" s="7" t="s">
        <v>395</v>
      </c>
      <c r="B10" s="9" t="s">
        <v>396</v>
      </c>
      <c r="C10" s="9" t="s">
        <v>397</v>
      </c>
      <c r="D10" s="9" t="s">
        <v>398</v>
      </c>
      <c r="E10" s="9" t="s">
        <v>399</v>
      </c>
      <c r="F10" s="9" t="s">
        <v>400</v>
      </c>
      <c r="G10" s="9" t="s">
        <v>401</v>
      </c>
      <c r="H10" s="12" t="s">
        <v>141</v>
      </c>
      <c r="I10" s="9" t="s">
        <v>402</v>
      </c>
      <c r="J10" s="9" t="s">
        <v>403</v>
      </c>
    </row>
    <row r="11" spans="1:10" ht="41.25" customHeight="1">
      <c r="A11" s="7" t="s">
        <v>404</v>
      </c>
      <c r="B11" s="8" t="s">
        <v>405</v>
      </c>
      <c r="C11" s="11" t="s">
        <v>141</v>
      </c>
      <c r="D11" s="8" t="s">
        <v>406</v>
      </c>
      <c r="E11" s="11" t="s">
        <v>141</v>
      </c>
      <c r="F11" s="11" t="s">
        <v>141</v>
      </c>
      <c r="G11" s="8" t="s">
        <v>407</v>
      </c>
      <c r="H11" s="11" t="s">
        <v>141</v>
      </c>
      <c r="I11" s="11" t="s">
        <v>141</v>
      </c>
      <c r="J11" s="8" t="s">
        <v>408</v>
      </c>
    </row>
    <row r="12" spans="1:10" ht="41.25" customHeight="1">
      <c r="A12" s="7" t="s">
        <v>409</v>
      </c>
      <c r="B12" s="9" t="s">
        <v>410</v>
      </c>
      <c r="C12" s="12" t="s">
        <v>141</v>
      </c>
      <c r="D12" s="9" t="s">
        <v>411</v>
      </c>
      <c r="E12" s="12" t="s">
        <v>141</v>
      </c>
      <c r="F12" s="12" t="s">
        <v>141</v>
      </c>
      <c r="G12" s="9" t="s">
        <v>412</v>
      </c>
      <c r="H12" s="9" t="s">
        <v>413</v>
      </c>
      <c r="I12" s="12" t="s">
        <v>141</v>
      </c>
      <c r="J12" s="9" t="s">
        <v>414</v>
      </c>
    </row>
    <row r="13" spans="1:10" ht="41.25" customHeight="1">
      <c r="A13" s="7" t="s">
        <v>415</v>
      </c>
      <c r="B13" s="8" t="s">
        <v>416</v>
      </c>
      <c r="C13" s="11" t="s">
        <v>141</v>
      </c>
      <c r="D13" s="8" t="s">
        <v>417</v>
      </c>
      <c r="E13" s="11" t="s">
        <v>141</v>
      </c>
      <c r="F13" s="11" t="s">
        <v>141</v>
      </c>
      <c r="G13" s="11" t="s">
        <v>141</v>
      </c>
      <c r="H13" s="11" t="s">
        <v>141</v>
      </c>
      <c r="I13" s="11" t="s">
        <v>141</v>
      </c>
      <c r="J13" s="8" t="s">
        <v>418</v>
      </c>
    </row>
    <row r="14" spans="1:10" ht="28.5" customHeight="1">
      <c r="A14" s="7" t="s">
        <v>419</v>
      </c>
      <c r="B14" s="9" t="s">
        <v>420</v>
      </c>
      <c r="C14" s="12" t="s">
        <v>141</v>
      </c>
      <c r="D14" s="9" t="s">
        <v>421</v>
      </c>
      <c r="E14" s="12" t="s">
        <v>141</v>
      </c>
      <c r="F14" s="12" t="s">
        <v>141</v>
      </c>
      <c r="G14" s="12" t="s">
        <v>141</v>
      </c>
      <c r="H14" s="12" t="s">
        <v>141</v>
      </c>
      <c r="I14" s="12" t="s">
        <v>141</v>
      </c>
      <c r="J14" s="9" t="s">
        <v>422</v>
      </c>
    </row>
    <row r="15" spans="1:10" ht="41.25" customHeight="1">
      <c r="A15" s="7" t="s">
        <v>423</v>
      </c>
      <c r="B15" s="8" t="s">
        <v>424</v>
      </c>
      <c r="C15" s="8" t="s">
        <v>425</v>
      </c>
      <c r="D15" s="8" t="s">
        <v>426</v>
      </c>
      <c r="E15" s="8" t="s">
        <v>427</v>
      </c>
      <c r="F15" s="8" t="s">
        <v>428</v>
      </c>
      <c r="G15" s="8" t="s">
        <v>429</v>
      </c>
      <c r="H15" s="8" t="s">
        <v>430</v>
      </c>
      <c r="I15" s="8" t="s">
        <v>431</v>
      </c>
      <c r="J15" s="8" t="s">
        <v>432</v>
      </c>
    </row>
    <row r="16" spans="1:10" ht="41.25" customHeight="1">
      <c r="A16" s="7" t="s">
        <v>433</v>
      </c>
      <c r="B16" s="9" t="s">
        <v>434</v>
      </c>
      <c r="C16" s="9" t="s">
        <v>435</v>
      </c>
      <c r="D16" s="9" t="s">
        <v>436</v>
      </c>
      <c r="E16" s="9" t="s">
        <v>437</v>
      </c>
      <c r="F16" s="12" t="s">
        <v>141</v>
      </c>
      <c r="G16" s="9" t="s">
        <v>438</v>
      </c>
      <c r="H16" s="12" t="s">
        <v>141</v>
      </c>
      <c r="I16" s="12" t="s">
        <v>141</v>
      </c>
      <c r="J16" s="9" t="s">
        <v>439</v>
      </c>
    </row>
  </sheetData>
  <autoFilter ref="A4:J16" xr:uid="{00000000-0009-0000-0000-000003000000}"/>
  <mergeCells count="2">
    <mergeCell ref="A1:J1"/>
    <mergeCell ref="A2:J2"/>
  </mergeCells>
  <pageMargins left="0.75" right="0.75" top="1" bottom="1" header="0.511811023622047" footer="0.511811023622047"/>
  <pageSetup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2E75B6"/>
    <pageSetUpPr fitToPage="1"/>
  </sheetPr>
  <dimension ref="A1:H13"/>
  <sheetViews>
    <sheetView showGridLines="0" zoomScaleNormal="100" workbookViewId="0">
      <pane xSplit="2" ySplit="4" topLeftCell="C5" activePane="bottomRight" state="frozen"/>
      <selection pane="bottomRight"/>
      <selection pane="bottomLeft" activeCell="A5" sqref="A5"/>
      <selection pane="topRight" activeCell="C1" sqref="C1"/>
    </sheetView>
  </sheetViews>
  <sheetFormatPr defaultColWidth="8.7109375" defaultRowHeight="15"/>
  <cols>
    <col min="1" max="1" width="16" customWidth="1"/>
    <col min="2" max="2" width="28" customWidth="1"/>
    <col min="3" max="3" width="14" customWidth="1"/>
    <col min="4" max="4" width="20" customWidth="1"/>
    <col min="5" max="5" width="32" customWidth="1"/>
    <col min="6" max="6" width="46" customWidth="1"/>
    <col min="7" max="7" width="40" customWidth="1"/>
    <col min="8" max="8" width="20" customWidth="1"/>
  </cols>
  <sheetData>
    <row r="1" spans="1:8" ht="21.75" customHeight="1">
      <c r="A1" s="21" t="s">
        <v>440</v>
      </c>
      <c r="B1" s="21"/>
      <c r="C1" s="21"/>
      <c r="D1" s="21"/>
      <c r="E1" s="21"/>
      <c r="F1" s="21"/>
      <c r="G1" s="21"/>
      <c r="H1" s="21"/>
    </row>
    <row r="2" spans="1:8" ht="25.5" customHeight="1">
      <c r="A2" s="20" t="s">
        <v>441</v>
      </c>
      <c r="B2" s="20"/>
      <c r="C2" s="20"/>
      <c r="D2" s="20"/>
      <c r="E2" s="20"/>
      <c r="F2" s="20"/>
      <c r="G2" s="20"/>
      <c r="H2" s="20"/>
    </row>
    <row r="4" spans="1:8">
      <c r="A4" s="6" t="s">
        <v>18</v>
      </c>
      <c r="B4" s="6" t="s">
        <v>19</v>
      </c>
      <c r="C4" s="6" t="s">
        <v>20</v>
      </c>
      <c r="D4" s="6" t="s">
        <v>442</v>
      </c>
      <c r="E4" s="6" t="s">
        <v>22</v>
      </c>
      <c r="F4" s="6" t="s">
        <v>23</v>
      </c>
      <c r="G4" s="6" t="s">
        <v>443</v>
      </c>
      <c r="H4" s="6" t="s">
        <v>25</v>
      </c>
    </row>
    <row r="5" spans="1:8" ht="153.75" customHeight="1">
      <c r="A5" s="7" t="s">
        <v>444</v>
      </c>
      <c r="B5" s="8" t="s">
        <v>445</v>
      </c>
      <c r="C5" s="8" t="s">
        <v>446</v>
      </c>
      <c r="D5" s="8" t="s">
        <v>447</v>
      </c>
      <c r="E5" s="8" t="s">
        <v>448</v>
      </c>
      <c r="F5" s="8" t="s">
        <v>449</v>
      </c>
      <c r="G5" s="8" t="s">
        <v>450</v>
      </c>
      <c r="H5" s="8" t="s">
        <v>451</v>
      </c>
    </row>
    <row r="6" spans="1:8" ht="103.5" customHeight="1">
      <c r="A6" s="7" t="s">
        <v>444</v>
      </c>
      <c r="B6" s="9" t="s">
        <v>452</v>
      </c>
      <c r="C6" s="9" t="s">
        <v>453</v>
      </c>
      <c r="D6" s="9" t="s">
        <v>454</v>
      </c>
      <c r="E6" s="9" t="s">
        <v>455</v>
      </c>
      <c r="F6" s="9" t="s">
        <v>456</v>
      </c>
      <c r="G6" s="9" t="s">
        <v>457</v>
      </c>
      <c r="H6" s="9" t="s">
        <v>458</v>
      </c>
    </row>
    <row r="7" spans="1:8" ht="78.75" customHeight="1">
      <c r="A7" s="7" t="s">
        <v>459</v>
      </c>
      <c r="B7" s="8" t="s">
        <v>460</v>
      </c>
      <c r="C7" s="8" t="s">
        <v>461</v>
      </c>
      <c r="D7" s="8" t="s">
        <v>462</v>
      </c>
      <c r="E7" s="8" t="s">
        <v>463</v>
      </c>
      <c r="F7" s="8" t="s">
        <v>464</v>
      </c>
      <c r="G7" s="8" t="s">
        <v>465</v>
      </c>
      <c r="H7" s="8" t="s">
        <v>466</v>
      </c>
    </row>
    <row r="8" spans="1:8" ht="103.5" customHeight="1">
      <c r="A8" s="7" t="s">
        <v>467</v>
      </c>
      <c r="B8" s="9" t="s">
        <v>468</v>
      </c>
      <c r="C8" s="9" t="s">
        <v>446</v>
      </c>
      <c r="D8" s="9" t="s">
        <v>469</v>
      </c>
      <c r="E8" s="9" t="s">
        <v>470</v>
      </c>
      <c r="F8" s="9" t="s">
        <v>471</v>
      </c>
      <c r="G8" s="9" t="s">
        <v>472</v>
      </c>
      <c r="H8" s="9" t="s">
        <v>473</v>
      </c>
    </row>
    <row r="9" spans="1:8" ht="54" customHeight="1">
      <c r="A9" s="7" t="s">
        <v>26</v>
      </c>
      <c r="B9" s="8" t="s">
        <v>474</v>
      </c>
      <c r="C9" s="8" t="s">
        <v>475</v>
      </c>
      <c r="D9" s="8" t="s">
        <v>476</v>
      </c>
      <c r="E9" s="8" t="s">
        <v>477</v>
      </c>
      <c r="F9" s="8" t="s">
        <v>478</v>
      </c>
      <c r="G9" s="8" t="s">
        <v>479</v>
      </c>
      <c r="H9" s="8" t="s">
        <v>480</v>
      </c>
    </row>
    <row r="10" spans="1:8" ht="54" customHeight="1">
      <c r="A10" s="7" t="s">
        <v>481</v>
      </c>
      <c r="B10" s="9" t="s">
        <v>482</v>
      </c>
      <c r="C10" s="9" t="s">
        <v>483</v>
      </c>
      <c r="D10" s="9" t="s">
        <v>484</v>
      </c>
      <c r="E10" s="9" t="s">
        <v>485</v>
      </c>
      <c r="F10" s="9" t="s">
        <v>486</v>
      </c>
      <c r="G10" s="9" t="s">
        <v>487</v>
      </c>
      <c r="H10" s="9" t="s">
        <v>488</v>
      </c>
    </row>
    <row r="11" spans="1:8" ht="54" customHeight="1">
      <c r="A11" s="7" t="s">
        <v>489</v>
      </c>
      <c r="B11" s="8" t="s">
        <v>490</v>
      </c>
      <c r="C11" s="8" t="s">
        <v>446</v>
      </c>
      <c r="D11" s="8" t="s">
        <v>491</v>
      </c>
      <c r="E11" s="8" t="s">
        <v>492</v>
      </c>
      <c r="F11" s="8" t="s">
        <v>493</v>
      </c>
      <c r="G11" s="8" t="s">
        <v>494</v>
      </c>
      <c r="H11" s="8" t="s">
        <v>495</v>
      </c>
    </row>
    <row r="12" spans="1:8" ht="41.25" customHeight="1">
      <c r="A12" s="7" t="s">
        <v>496</v>
      </c>
      <c r="B12" s="9" t="s">
        <v>497</v>
      </c>
      <c r="C12" s="9" t="s">
        <v>446</v>
      </c>
      <c r="D12" s="9" t="s">
        <v>498</v>
      </c>
      <c r="E12" s="9" t="s">
        <v>499</v>
      </c>
      <c r="F12" s="9" t="s">
        <v>500</v>
      </c>
      <c r="G12" s="9" t="s">
        <v>501</v>
      </c>
      <c r="H12" s="9" t="s">
        <v>502</v>
      </c>
    </row>
    <row r="13" spans="1:8" ht="66" customHeight="1">
      <c r="A13" s="7" t="s">
        <v>503</v>
      </c>
      <c r="B13" s="8" t="s">
        <v>504</v>
      </c>
      <c r="C13" s="8" t="s">
        <v>505</v>
      </c>
      <c r="D13" s="8" t="s">
        <v>506</v>
      </c>
      <c r="E13" s="8" t="s">
        <v>507</v>
      </c>
      <c r="F13" s="8" t="s">
        <v>508</v>
      </c>
      <c r="G13" s="8" t="s">
        <v>509</v>
      </c>
      <c r="H13" s="8" t="s">
        <v>510</v>
      </c>
    </row>
  </sheetData>
  <autoFilter ref="A4:H13" xr:uid="{00000000-0009-0000-0000-000004000000}"/>
  <mergeCells count="2">
    <mergeCell ref="A1:H1"/>
    <mergeCell ref="A2:H2"/>
  </mergeCells>
  <pageMargins left="0.75" right="0.75" top="1" bottom="1" header="0.511811023622047" footer="0.511811023622047"/>
  <pageSetup fitToHeight="0"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2E75B6"/>
    <pageSetUpPr fitToPage="1"/>
  </sheetPr>
  <dimension ref="A1:H12"/>
  <sheetViews>
    <sheetView showGridLines="0" zoomScaleNormal="100" workbookViewId="0">
      <pane xSplit="2" ySplit="4" topLeftCell="C5" activePane="bottomRight" state="frozen"/>
      <selection pane="bottomRight"/>
      <selection pane="bottomLeft" activeCell="A5" sqref="A5"/>
      <selection pane="topRight" activeCell="C1" sqref="C1"/>
    </sheetView>
  </sheetViews>
  <sheetFormatPr defaultColWidth="8.7109375" defaultRowHeight="15"/>
  <cols>
    <col min="1" max="1" width="16" customWidth="1"/>
    <col min="2" max="2" width="28" customWidth="1"/>
    <col min="3" max="3" width="14" customWidth="1"/>
    <col min="4" max="4" width="20" customWidth="1"/>
    <col min="5" max="5" width="32" customWidth="1"/>
    <col min="6" max="6" width="46" customWidth="1"/>
    <col min="7" max="7" width="40" customWidth="1"/>
    <col min="8" max="8" width="20" customWidth="1"/>
  </cols>
  <sheetData>
    <row r="1" spans="1:8" ht="21.75" customHeight="1">
      <c r="A1" s="21" t="s">
        <v>511</v>
      </c>
      <c r="B1" s="21"/>
      <c r="C1" s="21"/>
      <c r="D1" s="21"/>
      <c r="E1" s="21"/>
      <c r="F1" s="21"/>
      <c r="G1" s="21"/>
      <c r="H1" s="21"/>
    </row>
    <row r="2" spans="1:8" ht="25.5" customHeight="1">
      <c r="A2" s="20" t="s">
        <v>512</v>
      </c>
      <c r="B2" s="20"/>
      <c r="C2" s="20"/>
      <c r="D2" s="20"/>
      <c r="E2" s="20"/>
      <c r="F2" s="20"/>
      <c r="G2" s="20"/>
      <c r="H2" s="20"/>
    </row>
    <row r="4" spans="1:8">
      <c r="A4" s="6" t="s">
        <v>18</v>
      </c>
      <c r="B4" s="6" t="s">
        <v>19</v>
      </c>
      <c r="C4" s="6" t="s">
        <v>20</v>
      </c>
      <c r="D4" s="6" t="s">
        <v>442</v>
      </c>
      <c r="E4" s="6" t="s">
        <v>22</v>
      </c>
      <c r="F4" s="6" t="s">
        <v>23</v>
      </c>
      <c r="G4" s="6" t="s">
        <v>443</v>
      </c>
      <c r="H4" s="6" t="s">
        <v>25</v>
      </c>
    </row>
    <row r="5" spans="1:8" ht="54" customHeight="1">
      <c r="A5" s="7" t="s">
        <v>444</v>
      </c>
      <c r="B5" s="8" t="s">
        <v>513</v>
      </c>
      <c r="C5" s="8" t="s">
        <v>143</v>
      </c>
      <c r="D5" s="8" t="s">
        <v>514</v>
      </c>
      <c r="E5" s="8" t="s">
        <v>515</v>
      </c>
      <c r="F5" s="8" t="s">
        <v>516</v>
      </c>
      <c r="G5" s="8" t="s">
        <v>517</v>
      </c>
      <c r="H5" s="8" t="s">
        <v>518</v>
      </c>
    </row>
    <row r="6" spans="1:8" ht="66" customHeight="1">
      <c r="A6" s="7" t="s">
        <v>467</v>
      </c>
      <c r="B6" s="9" t="s">
        <v>519</v>
      </c>
      <c r="C6" s="9" t="s">
        <v>520</v>
      </c>
      <c r="D6" s="9" t="s">
        <v>521</v>
      </c>
      <c r="E6" s="9" t="s">
        <v>522</v>
      </c>
      <c r="F6" s="9" t="s">
        <v>523</v>
      </c>
      <c r="G6" s="9" t="s">
        <v>524</v>
      </c>
      <c r="H6" s="9" t="s">
        <v>525</v>
      </c>
    </row>
    <row r="7" spans="1:8" ht="41.25" customHeight="1">
      <c r="A7" s="7" t="s">
        <v>526</v>
      </c>
      <c r="B7" s="8" t="s">
        <v>527</v>
      </c>
      <c r="C7" s="8" t="s">
        <v>520</v>
      </c>
      <c r="D7" s="8" t="s">
        <v>528</v>
      </c>
      <c r="E7" s="8" t="s">
        <v>529</v>
      </c>
      <c r="F7" s="8" t="s">
        <v>530</v>
      </c>
      <c r="G7" s="8" t="s">
        <v>531</v>
      </c>
      <c r="H7" s="8" t="s">
        <v>532</v>
      </c>
    </row>
    <row r="8" spans="1:8" ht="41.25" customHeight="1">
      <c r="A8" s="7" t="s">
        <v>533</v>
      </c>
      <c r="B8" s="9" t="s">
        <v>534</v>
      </c>
      <c r="C8" s="9" t="s">
        <v>520</v>
      </c>
      <c r="D8" s="9" t="s">
        <v>535</v>
      </c>
      <c r="E8" s="9" t="s">
        <v>536</v>
      </c>
      <c r="F8" s="9" t="s">
        <v>537</v>
      </c>
      <c r="G8" s="9" t="s">
        <v>538</v>
      </c>
      <c r="H8" s="9" t="s">
        <v>539</v>
      </c>
    </row>
    <row r="9" spans="1:8" ht="41.25" customHeight="1">
      <c r="A9" s="7" t="s">
        <v>540</v>
      </c>
      <c r="B9" s="8" t="s">
        <v>541</v>
      </c>
      <c r="C9" s="8" t="s">
        <v>520</v>
      </c>
      <c r="D9" s="8" t="s">
        <v>542</v>
      </c>
      <c r="E9" s="8" t="s">
        <v>543</v>
      </c>
      <c r="F9" s="8" t="s">
        <v>544</v>
      </c>
      <c r="G9" s="8" t="s">
        <v>545</v>
      </c>
      <c r="H9" s="8" t="s">
        <v>546</v>
      </c>
    </row>
    <row r="10" spans="1:8" ht="41.25" customHeight="1">
      <c r="A10" s="7" t="s">
        <v>547</v>
      </c>
      <c r="B10" s="9" t="s">
        <v>548</v>
      </c>
      <c r="C10" s="9" t="s">
        <v>446</v>
      </c>
      <c r="D10" s="9" t="s">
        <v>549</v>
      </c>
      <c r="E10" s="9" t="s">
        <v>550</v>
      </c>
      <c r="F10" s="9" t="s">
        <v>551</v>
      </c>
      <c r="G10" s="9" t="s">
        <v>552</v>
      </c>
      <c r="H10" s="9" t="s">
        <v>553</v>
      </c>
    </row>
    <row r="11" spans="1:8" ht="41.25" customHeight="1">
      <c r="A11" s="7" t="s">
        <v>554</v>
      </c>
      <c r="B11" s="8" t="s">
        <v>555</v>
      </c>
      <c r="C11" s="8" t="s">
        <v>520</v>
      </c>
      <c r="D11" s="8" t="s">
        <v>556</v>
      </c>
      <c r="E11" s="8" t="s">
        <v>557</v>
      </c>
      <c r="F11" s="8" t="s">
        <v>558</v>
      </c>
      <c r="G11" s="8" t="s">
        <v>559</v>
      </c>
      <c r="H11" s="8" t="s">
        <v>560</v>
      </c>
    </row>
    <row r="12" spans="1:8" ht="41.25" customHeight="1">
      <c r="A12" s="7" t="s">
        <v>561</v>
      </c>
      <c r="B12" s="9" t="s">
        <v>562</v>
      </c>
      <c r="C12" s="9" t="s">
        <v>520</v>
      </c>
      <c r="D12" s="9" t="s">
        <v>563</v>
      </c>
      <c r="E12" s="9" t="s">
        <v>564</v>
      </c>
      <c r="F12" s="9" t="s">
        <v>565</v>
      </c>
      <c r="G12" s="10" t="s">
        <v>566</v>
      </c>
      <c r="H12" s="9" t="s">
        <v>567</v>
      </c>
    </row>
  </sheetData>
  <autoFilter ref="A4:H12" xr:uid="{00000000-0009-0000-0000-000005000000}"/>
  <mergeCells count="2">
    <mergeCell ref="A1:H1"/>
    <mergeCell ref="A2:H2"/>
  </mergeCells>
  <pageMargins left="0.75" right="0.75" top="1" bottom="1" header="0.511811023622047" footer="0.511811023622047"/>
  <pageSetup fitToHeight="0"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2E75B6"/>
    <pageSetUpPr fitToPage="1"/>
  </sheetPr>
  <dimension ref="A1:H12"/>
  <sheetViews>
    <sheetView showGridLines="0" zoomScaleNormal="100" workbookViewId="0">
      <pane xSplit="2" ySplit="4" topLeftCell="C5" activePane="bottomRight" state="frozen"/>
      <selection pane="bottomRight"/>
      <selection pane="bottomLeft" activeCell="A5" sqref="A5"/>
      <selection pane="topRight" activeCell="C1" sqref="C1"/>
    </sheetView>
  </sheetViews>
  <sheetFormatPr defaultColWidth="8.7109375" defaultRowHeight="15"/>
  <cols>
    <col min="1" max="1" width="16" customWidth="1"/>
    <col min="2" max="2" width="28" customWidth="1"/>
    <col min="3" max="3" width="14" customWidth="1"/>
    <col min="4" max="4" width="20" customWidth="1"/>
    <col min="5" max="5" width="32" customWidth="1"/>
    <col min="6" max="6" width="46" customWidth="1"/>
    <col min="7" max="7" width="40" customWidth="1"/>
    <col min="8" max="8" width="20" customWidth="1"/>
  </cols>
  <sheetData>
    <row r="1" spans="1:8" ht="21.75" customHeight="1">
      <c r="A1" s="21" t="s">
        <v>568</v>
      </c>
      <c r="B1" s="21"/>
      <c r="C1" s="21"/>
      <c r="D1" s="21"/>
      <c r="E1" s="21"/>
      <c r="F1" s="21"/>
      <c r="G1" s="21"/>
      <c r="H1" s="21"/>
    </row>
    <row r="2" spans="1:8" ht="25.5" customHeight="1">
      <c r="A2" s="20" t="s">
        <v>569</v>
      </c>
      <c r="B2" s="20"/>
      <c r="C2" s="20"/>
      <c r="D2" s="20"/>
      <c r="E2" s="20"/>
      <c r="F2" s="20"/>
      <c r="G2" s="20"/>
      <c r="H2" s="20"/>
    </row>
    <row r="4" spans="1:8">
      <c r="A4" s="6" t="s">
        <v>18</v>
      </c>
      <c r="B4" s="6" t="s">
        <v>19</v>
      </c>
      <c r="C4" s="6" t="s">
        <v>20</v>
      </c>
      <c r="D4" s="6" t="s">
        <v>442</v>
      </c>
      <c r="E4" s="6" t="s">
        <v>22</v>
      </c>
      <c r="F4" s="6" t="s">
        <v>23</v>
      </c>
      <c r="G4" s="6" t="s">
        <v>443</v>
      </c>
      <c r="H4" s="6" t="s">
        <v>25</v>
      </c>
    </row>
    <row r="5" spans="1:8" ht="54" customHeight="1">
      <c r="A5" s="7" t="s">
        <v>444</v>
      </c>
      <c r="B5" s="8" t="s">
        <v>570</v>
      </c>
      <c r="C5" s="8" t="s">
        <v>571</v>
      </c>
      <c r="D5" s="11" t="s">
        <v>141</v>
      </c>
      <c r="E5" s="11" t="s">
        <v>141</v>
      </c>
      <c r="F5" s="8" t="s">
        <v>572</v>
      </c>
      <c r="G5" s="8" t="s">
        <v>573</v>
      </c>
      <c r="H5" s="11" t="s">
        <v>141</v>
      </c>
    </row>
    <row r="6" spans="1:8" ht="54" customHeight="1">
      <c r="A6" s="7" t="s">
        <v>467</v>
      </c>
      <c r="B6" s="9" t="s">
        <v>574</v>
      </c>
      <c r="C6" s="9" t="s">
        <v>184</v>
      </c>
      <c r="D6" s="9" t="s">
        <v>575</v>
      </c>
      <c r="E6" s="9" t="s">
        <v>576</v>
      </c>
      <c r="F6" s="9" t="s">
        <v>577</v>
      </c>
      <c r="G6" s="9" t="s">
        <v>578</v>
      </c>
      <c r="H6" s="9" t="s">
        <v>579</v>
      </c>
    </row>
    <row r="7" spans="1:8" ht="41.25" customHeight="1">
      <c r="A7" s="7" t="s">
        <v>580</v>
      </c>
      <c r="B7" s="8" t="s">
        <v>581</v>
      </c>
      <c r="C7" s="8" t="s">
        <v>520</v>
      </c>
      <c r="D7" s="8" t="s">
        <v>582</v>
      </c>
      <c r="E7" s="8" t="s">
        <v>583</v>
      </c>
      <c r="F7" s="8" t="s">
        <v>584</v>
      </c>
      <c r="G7" s="8" t="s">
        <v>585</v>
      </c>
      <c r="H7" s="8" t="s">
        <v>579</v>
      </c>
    </row>
    <row r="8" spans="1:8" ht="66" customHeight="1">
      <c r="A8" s="7" t="s">
        <v>586</v>
      </c>
      <c r="B8" s="9" t="s">
        <v>587</v>
      </c>
      <c r="C8" s="9" t="s">
        <v>520</v>
      </c>
      <c r="D8" s="9" t="s">
        <v>588</v>
      </c>
      <c r="E8" s="9" t="s">
        <v>589</v>
      </c>
      <c r="F8" s="9" t="s">
        <v>590</v>
      </c>
      <c r="G8" s="9" t="s">
        <v>591</v>
      </c>
      <c r="H8" s="9" t="s">
        <v>592</v>
      </c>
    </row>
    <row r="9" spans="1:8" ht="41.25" customHeight="1">
      <c r="A9" s="7" t="s">
        <v>593</v>
      </c>
      <c r="B9" s="8" t="s">
        <v>594</v>
      </c>
      <c r="C9" s="8" t="s">
        <v>520</v>
      </c>
      <c r="D9" s="8" t="s">
        <v>595</v>
      </c>
      <c r="E9" s="8" t="s">
        <v>596</v>
      </c>
      <c r="F9" s="8" t="s">
        <v>597</v>
      </c>
      <c r="G9" s="8" t="s">
        <v>598</v>
      </c>
      <c r="H9" s="8" t="s">
        <v>599</v>
      </c>
    </row>
    <row r="10" spans="1:8" ht="28.5" customHeight="1">
      <c r="A10" s="7" t="s">
        <v>526</v>
      </c>
      <c r="B10" s="9" t="s">
        <v>600</v>
      </c>
      <c r="C10" s="9" t="s">
        <v>520</v>
      </c>
      <c r="D10" s="9" t="s">
        <v>601</v>
      </c>
      <c r="E10" s="9" t="s">
        <v>602</v>
      </c>
      <c r="F10" s="9" t="s">
        <v>603</v>
      </c>
      <c r="G10" s="12" t="s">
        <v>141</v>
      </c>
      <c r="H10" s="9" t="s">
        <v>604</v>
      </c>
    </row>
    <row r="11" spans="1:8" ht="41.25" customHeight="1">
      <c r="A11" s="7" t="s">
        <v>605</v>
      </c>
      <c r="B11" s="8" t="s">
        <v>606</v>
      </c>
      <c r="C11" s="8" t="s">
        <v>607</v>
      </c>
      <c r="D11" s="8" t="s">
        <v>608</v>
      </c>
      <c r="E11" s="8" t="s">
        <v>609</v>
      </c>
      <c r="F11" s="8" t="s">
        <v>610</v>
      </c>
      <c r="G11" s="8" t="s">
        <v>611</v>
      </c>
      <c r="H11" s="8" t="s">
        <v>612</v>
      </c>
    </row>
    <row r="12" spans="1:8" ht="28.5" customHeight="1">
      <c r="A12" s="7" t="s">
        <v>167</v>
      </c>
      <c r="B12" s="9" t="s">
        <v>613</v>
      </c>
      <c r="C12" s="9" t="s">
        <v>167</v>
      </c>
      <c r="D12" s="9" t="s">
        <v>614</v>
      </c>
      <c r="E12" s="9" t="s">
        <v>615</v>
      </c>
      <c r="F12" s="9" t="s">
        <v>616</v>
      </c>
      <c r="G12" s="9" t="s">
        <v>617</v>
      </c>
      <c r="H12" s="9" t="s">
        <v>618</v>
      </c>
    </row>
  </sheetData>
  <autoFilter ref="A4:H12" xr:uid="{00000000-0009-0000-0000-000006000000}"/>
  <mergeCells count="2">
    <mergeCell ref="A1:H1"/>
    <mergeCell ref="A2:H2"/>
  </mergeCells>
  <pageMargins left="0.75" right="0.75" top="1" bottom="1" header="0.511811023622047" footer="0.511811023622047"/>
  <pageSetup fitToHeight="0" orientation="landscape"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2E75B6"/>
    <pageSetUpPr fitToPage="1"/>
  </sheetPr>
  <dimension ref="A1:H10"/>
  <sheetViews>
    <sheetView showGridLines="0" zoomScaleNormal="100" workbookViewId="0">
      <pane xSplit="2" ySplit="4" topLeftCell="C5" activePane="bottomRight" state="frozen"/>
      <selection pane="bottomRight"/>
      <selection pane="bottomLeft" activeCell="A5" sqref="A5"/>
      <selection pane="topRight" activeCell="C1" sqref="C1"/>
    </sheetView>
  </sheetViews>
  <sheetFormatPr defaultColWidth="8.7109375" defaultRowHeight="15"/>
  <cols>
    <col min="1" max="1" width="16" customWidth="1"/>
    <col min="2" max="2" width="28" customWidth="1"/>
    <col min="3" max="3" width="14" customWidth="1"/>
    <col min="4" max="4" width="20" customWidth="1"/>
    <col min="5" max="5" width="32" customWidth="1"/>
    <col min="6" max="6" width="46" customWidth="1"/>
    <col min="7" max="7" width="40" customWidth="1"/>
    <col min="8" max="8" width="20" customWidth="1"/>
  </cols>
  <sheetData>
    <row r="1" spans="1:8" ht="21.75" customHeight="1">
      <c r="A1" s="21" t="s">
        <v>619</v>
      </c>
      <c r="B1" s="21"/>
      <c r="C1" s="21"/>
      <c r="D1" s="21"/>
      <c r="E1" s="21"/>
      <c r="F1" s="21"/>
      <c r="G1" s="21"/>
      <c r="H1" s="21"/>
    </row>
    <row r="2" spans="1:8" ht="25.5" customHeight="1">
      <c r="A2" s="20" t="s">
        <v>620</v>
      </c>
      <c r="B2" s="20"/>
      <c r="C2" s="20"/>
      <c r="D2" s="20"/>
      <c r="E2" s="20"/>
      <c r="F2" s="20"/>
      <c r="G2" s="20"/>
      <c r="H2" s="20"/>
    </row>
    <row r="4" spans="1:8">
      <c r="A4" s="6" t="s">
        <v>18</v>
      </c>
      <c r="B4" s="6" t="s">
        <v>19</v>
      </c>
      <c r="C4" s="6" t="s">
        <v>20</v>
      </c>
      <c r="D4" s="6" t="s">
        <v>442</v>
      </c>
      <c r="E4" s="6" t="s">
        <v>22</v>
      </c>
      <c r="F4" s="6" t="s">
        <v>23</v>
      </c>
      <c r="G4" s="6" t="s">
        <v>443</v>
      </c>
      <c r="H4" s="6" t="s">
        <v>25</v>
      </c>
    </row>
    <row r="5" spans="1:8" ht="66" customHeight="1">
      <c r="A5" s="7" t="s">
        <v>444</v>
      </c>
      <c r="B5" s="8" t="s">
        <v>621</v>
      </c>
      <c r="C5" s="8" t="s">
        <v>182</v>
      </c>
      <c r="D5" s="8" t="s">
        <v>622</v>
      </c>
      <c r="E5" s="11" t="s">
        <v>141</v>
      </c>
      <c r="F5" s="8" t="s">
        <v>623</v>
      </c>
      <c r="G5" s="8" t="s">
        <v>624</v>
      </c>
      <c r="H5" s="8" t="s">
        <v>625</v>
      </c>
    </row>
    <row r="6" spans="1:8" ht="41.25" customHeight="1">
      <c r="A6" s="7" t="s">
        <v>467</v>
      </c>
      <c r="B6" s="9" t="s">
        <v>626</v>
      </c>
      <c r="C6" s="9" t="s">
        <v>520</v>
      </c>
      <c r="D6" s="9" t="s">
        <v>627</v>
      </c>
      <c r="E6" s="9" t="s">
        <v>628</v>
      </c>
      <c r="F6" s="9" t="s">
        <v>629</v>
      </c>
      <c r="G6" s="9" t="s">
        <v>630</v>
      </c>
      <c r="H6" s="9" t="s">
        <v>631</v>
      </c>
    </row>
    <row r="7" spans="1:8" ht="41.25" customHeight="1">
      <c r="A7" s="7" t="s">
        <v>26</v>
      </c>
      <c r="B7" s="8" t="s">
        <v>632</v>
      </c>
      <c r="C7" s="8" t="s">
        <v>520</v>
      </c>
      <c r="D7" s="8" t="s">
        <v>633</v>
      </c>
      <c r="E7" s="8" t="s">
        <v>634</v>
      </c>
      <c r="F7" s="8" t="s">
        <v>635</v>
      </c>
      <c r="G7" s="8" t="s">
        <v>636</v>
      </c>
      <c r="H7" s="8" t="s">
        <v>637</v>
      </c>
    </row>
    <row r="8" spans="1:8" ht="28.5" customHeight="1">
      <c r="A8" s="7" t="s">
        <v>638</v>
      </c>
      <c r="B8" s="9" t="s">
        <v>639</v>
      </c>
      <c r="C8" s="9" t="s">
        <v>520</v>
      </c>
      <c r="D8" s="9" t="s">
        <v>640</v>
      </c>
      <c r="E8" s="9" t="s">
        <v>641</v>
      </c>
      <c r="F8" s="9" t="s">
        <v>642</v>
      </c>
      <c r="G8" s="9" t="s">
        <v>643</v>
      </c>
      <c r="H8" s="9" t="s">
        <v>644</v>
      </c>
    </row>
    <row r="9" spans="1:8" ht="28.5" customHeight="1">
      <c r="A9" s="7" t="s">
        <v>67</v>
      </c>
      <c r="B9" s="8" t="s">
        <v>645</v>
      </c>
      <c r="C9" s="8" t="s">
        <v>520</v>
      </c>
      <c r="D9" s="8" t="s">
        <v>646</v>
      </c>
      <c r="E9" s="8" t="s">
        <v>647</v>
      </c>
      <c r="F9" s="8" t="s">
        <v>648</v>
      </c>
      <c r="G9" s="11" t="s">
        <v>141</v>
      </c>
      <c r="H9" s="8" t="s">
        <v>649</v>
      </c>
    </row>
    <row r="10" spans="1:8" ht="41.25" customHeight="1">
      <c r="A10" s="7" t="s">
        <v>540</v>
      </c>
      <c r="B10" s="9" t="s">
        <v>650</v>
      </c>
      <c r="C10" s="9" t="s">
        <v>651</v>
      </c>
      <c r="D10" s="9" t="s">
        <v>652</v>
      </c>
      <c r="E10" s="9" t="s">
        <v>653</v>
      </c>
      <c r="F10" s="9" t="s">
        <v>654</v>
      </c>
      <c r="G10" s="12" t="s">
        <v>141</v>
      </c>
      <c r="H10" s="9" t="s">
        <v>655</v>
      </c>
    </row>
  </sheetData>
  <autoFilter ref="A4:H10" xr:uid="{00000000-0009-0000-0000-000007000000}"/>
  <mergeCells count="2">
    <mergeCell ref="A1:H1"/>
    <mergeCell ref="A2:H2"/>
  </mergeCells>
  <pageMargins left="0.75" right="0.75" top="1" bottom="1" header="0.511811023622047" footer="0.511811023622047"/>
  <pageSetup fitToHeight="0" orientation="landscape"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2E75B6"/>
    <pageSetUpPr fitToPage="1"/>
  </sheetPr>
  <dimension ref="A1:H11"/>
  <sheetViews>
    <sheetView showGridLines="0" zoomScaleNormal="100" workbookViewId="0">
      <pane xSplit="2" ySplit="4" topLeftCell="C5" activePane="bottomRight" state="frozen"/>
      <selection pane="bottomRight"/>
      <selection pane="bottomLeft" activeCell="A5" sqref="A5"/>
      <selection pane="topRight" activeCell="C1" sqref="C1"/>
    </sheetView>
  </sheetViews>
  <sheetFormatPr defaultColWidth="8.7109375" defaultRowHeight="15"/>
  <cols>
    <col min="1" max="1" width="16" customWidth="1"/>
    <col min="2" max="2" width="28" customWidth="1"/>
    <col min="3" max="3" width="14" customWidth="1"/>
    <col min="4" max="4" width="20" customWidth="1"/>
    <col min="5" max="5" width="32" customWidth="1"/>
    <col min="6" max="6" width="46" customWidth="1"/>
    <col min="7" max="7" width="40" customWidth="1"/>
    <col min="8" max="8" width="20" customWidth="1"/>
  </cols>
  <sheetData>
    <row r="1" spans="1:8" ht="21.75" customHeight="1">
      <c r="A1" s="21" t="s">
        <v>656</v>
      </c>
      <c r="B1" s="21"/>
      <c r="C1" s="21"/>
      <c r="D1" s="21"/>
      <c r="E1" s="21"/>
      <c r="F1" s="21"/>
      <c r="G1" s="21"/>
      <c r="H1" s="21"/>
    </row>
    <row r="2" spans="1:8" ht="25.5" customHeight="1">
      <c r="A2" s="20" t="s">
        <v>657</v>
      </c>
      <c r="B2" s="20"/>
      <c r="C2" s="20"/>
      <c r="D2" s="20"/>
      <c r="E2" s="20"/>
      <c r="F2" s="20"/>
      <c r="G2" s="20"/>
      <c r="H2" s="20"/>
    </row>
    <row r="4" spans="1:8">
      <c r="A4" s="6" t="s">
        <v>18</v>
      </c>
      <c r="B4" s="6" t="s">
        <v>19</v>
      </c>
      <c r="C4" s="6" t="s">
        <v>20</v>
      </c>
      <c r="D4" s="6" t="s">
        <v>442</v>
      </c>
      <c r="E4" s="6" t="s">
        <v>22</v>
      </c>
      <c r="F4" s="6" t="s">
        <v>23</v>
      </c>
      <c r="G4" s="6" t="s">
        <v>443</v>
      </c>
      <c r="H4" s="6" t="s">
        <v>25</v>
      </c>
    </row>
    <row r="5" spans="1:8" ht="54" customHeight="1">
      <c r="A5" s="7" t="s">
        <v>444</v>
      </c>
      <c r="B5" s="8" t="s">
        <v>658</v>
      </c>
      <c r="C5" s="8" t="s">
        <v>184</v>
      </c>
      <c r="D5" s="8" t="s">
        <v>659</v>
      </c>
      <c r="E5" s="8" t="s">
        <v>660</v>
      </c>
      <c r="F5" s="8" t="s">
        <v>661</v>
      </c>
      <c r="G5" s="8" t="s">
        <v>662</v>
      </c>
      <c r="H5" s="8" t="s">
        <v>663</v>
      </c>
    </row>
    <row r="6" spans="1:8" ht="54" customHeight="1">
      <c r="A6" s="7" t="s">
        <v>467</v>
      </c>
      <c r="B6" s="9" t="s">
        <v>664</v>
      </c>
      <c r="C6" s="9" t="s">
        <v>520</v>
      </c>
      <c r="D6" s="9" t="s">
        <v>665</v>
      </c>
      <c r="E6" s="9" t="s">
        <v>666</v>
      </c>
      <c r="F6" s="9" t="s">
        <v>667</v>
      </c>
      <c r="G6" s="9" t="s">
        <v>668</v>
      </c>
      <c r="H6" s="9" t="s">
        <v>669</v>
      </c>
    </row>
    <row r="7" spans="1:8" ht="41.25" customHeight="1">
      <c r="A7" s="7" t="s">
        <v>670</v>
      </c>
      <c r="B7" s="8" t="s">
        <v>671</v>
      </c>
      <c r="C7" s="8" t="s">
        <v>520</v>
      </c>
      <c r="D7" s="8" t="s">
        <v>672</v>
      </c>
      <c r="E7" s="8" t="s">
        <v>673</v>
      </c>
      <c r="F7" s="8" t="s">
        <v>674</v>
      </c>
      <c r="G7" s="8" t="s">
        <v>675</v>
      </c>
      <c r="H7" s="8" t="s">
        <v>676</v>
      </c>
    </row>
    <row r="8" spans="1:8" ht="66" customHeight="1">
      <c r="A8" s="7" t="s">
        <v>677</v>
      </c>
      <c r="B8" s="9" t="s">
        <v>678</v>
      </c>
      <c r="C8" s="9" t="s">
        <v>679</v>
      </c>
      <c r="D8" s="9" t="s">
        <v>680</v>
      </c>
      <c r="E8" s="9" t="s">
        <v>681</v>
      </c>
      <c r="F8" s="9" t="s">
        <v>682</v>
      </c>
      <c r="G8" s="9" t="s">
        <v>683</v>
      </c>
      <c r="H8" s="9" t="s">
        <v>684</v>
      </c>
    </row>
    <row r="9" spans="1:8" ht="28.5" customHeight="1">
      <c r="A9" s="7" t="s">
        <v>67</v>
      </c>
      <c r="B9" s="8" t="s">
        <v>685</v>
      </c>
      <c r="C9" s="8" t="s">
        <v>520</v>
      </c>
      <c r="D9" s="8" t="s">
        <v>686</v>
      </c>
      <c r="E9" s="8" t="s">
        <v>687</v>
      </c>
      <c r="F9" s="8" t="s">
        <v>688</v>
      </c>
      <c r="G9" s="11" t="s">
        <v>141</v>
      </c>
      <c r="H9" s="8" t="s">
        <v>649</v>
      </c>
    </row>
    <row r="10" spans="1:8" ht="41.25" customHeight="1">
      <c r="A10" s="7" t="s">
        <v>689</v>
      </c>
      <c r="B10" s="9" t="s">
        <v>690</v>
      </c>
      <c r="C10" s="9" t="s">
        <v>691</v>
      </c>
      <c r="D10" s="9" t="s">
        <v>692</v>
      </c>
      <c r="E10" s="9" t="s">
        <v>693</v>
      </c>
      <c r="F10" s="9" t="s">
        <v>694</v>
      </c>
      <c r="G10" s="9" t="s">
        <v>695</v>
      </c>
      <c r="H10" s="9" t="s">
        <v>696</v>
      </c>
    </row>
    <row r="11" spans="1:8" ht="28.5" customHeight="1">
      <c r="A11" s="7" t="s">
        <v>697</v>
      </c>
      <c r="B11" s="8" t="s">
        <v>698</v>
      </c>
      <c r="C11" s="8" t="s">
        <v>520</v>
      </c>
      <c r="D11" s="8" t="s">
        <v>699</v>
      </c>
      <c r="E11" s="8" t="s">
        <v>700</v>
      </c>
      <c r="F11" s="8" t="s">
        <v>701</v>
      </c>
      <c r="G11" s="8" t="s">
        <v>702</v>
      </c>
      <c r="H11" s="8" t="s">
        <v>703</v>
      </c>
    </row>
  </sheetData>
  <autoFilter ref="A4:H11" xr:uid="{00000000-0009-0000-0000-000008000000}"/>
  <mergeCells count="2">
    <mergeCell ref="A1:H1"/>
    <mergeCell ref="A2:H2"/>
  </mergeCells>
  <pageMargins left="0.75" right="0.75" top="1" bottom="1" header="0.511811023622047" footer="0.511811023622047"/>
  <pageSetup fitToHeight="0" orientation="landscape"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2E75B6"/>
    <pageSetUpPr fitToPage="1"/>
  </sheetPr>
  <dimension ref="A1:H12"/>
  <sheetViews>
    <sheetView showGridLines="0" zoomScaleNormal="100" workbookViewId="0">
      <pane xSplit="2" ySplit="4" topLeftCell="C5" activePane="bottomRight" state="frozen"/>
      <selection pane="bottomRight"/>
      <selection pane="bottomLeft" activeCell="A5" sqref="A5"/>
      <selection pane="topRight" activeCell="C1" sqref="C1"/>
    </sheetView>
  </sheetViews>
  <sheetFormatPr defaultColWidth="8.7109375" defaultRowHeight="15"/>
  <cols>
    <col min="1" max="1" width="16" customWidth="1"/>
    <col min="2" max="2" width="28" customWidth="1"/>
    <col min="3" max="3" width="14" customWidth="1"/>
    <col min="4" max="4" width="20" customWidth="1"/>
    <col min="5" max="5" width="32" customWidth="1"/>
    <col min="6" max="6" width="46" customWidth="1"/>
    <col min="7" max="7" width="40" customWidth="1"/>
    <col min="8" max="8" width="20" customWidth="1"/>
  </cols>
  <sheetData>
    <row r="1" spans="1:8" ht="21.75" customHeight="1">
      <c r="A1" s="21" t="s">
        <v>704</v>
      </c>
      <c r="B1" s="21"/>
      <c r="C1" s="21"/>
      <c r="D1" s="21"/>
      <c r="E1" s="21"/>
      <c r="F1" s="21"/>
      <c r="G1" s="21"/>
      <c r="H1" s="21"/>
    </row>
    <row r="2" spans="1:8" ht="25.5" customHeight="1">
      <c r="A2" s="20" t="s">
        <v>705</v>
      </c>
      <c r="B2" s="20"/>
      <c r="C2" s="20"/>
      <c r="D2" s="20"/>
      <c r="E2" s="20"/>
      <c r="F2" s="20"/>
      <c r="G2" s="20"/>
      <c r="H2" s="20"/>
    </row>
    <row r="4" spans="1:8">
      <c r="A4" s="6" t="s">
        <v>18</v>
      </c>
      <c r="B4" s="6" t="s">
        <v>19</v>
      </c>
      <c r="C4" s="6" t="s">
        <v>20</v>
      </c>
      <c r="D4" s="6" t="s">
        <v>442</v>
      </c>
      <c r="E4" s="6" t="s">
        <v>22</v>
      </c>
      <c r="F4" s="6" t="s">
        <v>23</v>
      </c>
      <c r="G4" s="6" t="s">
        <v>443</v>
      </c>
      <c r="H4" s="6" t="s">
        <v>25</v>
      </c>
    </row>
    <row r="5" spans="1:8" ht="66" customHeight="1">
      <c r="A5" s="7" t="s">
        <v>444</v>
      </c>
      <c r="B5" s="8" t="s">
        <v>706</v>
      </c>
      <c r="C5" s="8" t="s">
        <v>707</v>
      </c>
      <c r="D5" s="8" t="s">
        <v>708</v>
      </c>
      <c r="E5" s="8" t="s">
        <v>709</v>
      </c>
      <c r="F5" s="8" t="s">
        <v>710</v>
      </c>
      <c r="G5" s="8" t="s">
        <v>711</v>
      </c>
      <c r="H5" s="8" t="s">
        <v>712</v>
      </c>
    </row>
    <row r="6" spans="1:8" ht="78.75" customHeight="1">
      <c r="A6" s="7" t="s">
        <v>580</v>
      </c>
      <c r="B6" s="9" t="s">
        <v>713</v>
      </c>
      <c r="C6" s="9" t="s">
        <v>714</v>
      </c>
      <c r="D6" s="9" t="s">
        <v>715</v>
      </c>
      <c r="E6" s="9" t="s">
        <v>716</v>
      </c>
      <c r="F6" s="9" t="s">
        <v>717</v>
      </c>
      <c r="G6" s="9" t="s">
        <v>718</v>
      </c>
      <c r="H6" s="9" t="s">
        <v>719</v>
      </c>
    </row>
    <row r="7" spans="1:8" ht="78.75" customHeight="1">
      <c r="A7" s="7" t="s">
        <v>720</v>
      </c>
      <c r="B7" s="8" t="s">
        <v>721</v>
      </c>
      <c r="C7" s="8" t="s">
        <v>722</v>
      </c>
      <c r="D7" s="8" t="s">
        <v>708</v>
      </c>
      <c r="E7" s="8" t="s">
        <v>723</v>
      </c>
      <c r="F7" s="8" t="s">
        <v>724</v>
      </c>
      <c r="G7" s="8" t="s">
        <v>725</v>
      </c>
      <c r="H7" s="8" t="s">
        <v>726</v>
      </c>
    </row>
    <row r="8" spans="1:8" ht="41.25" customHeight="1">
      <c r="A8" s="7" t="s">
        <v>547</v>
      </c>
      <c r="B8" s="9" t="s">
        <v>727</v>
      </c>
      <c r="C8" s="9" t="s">
        <v>728</v>
      </c>
      <c r="D8" s="9" t="s">
        <v>729</v>
      </c>
      <c r="E8" s="9" t="s">
        <v>730</v>
      </c>
      <c r="F8" s="9" t="s">
        <v>731</v>
      </c>
      <c r="G8" s="9" t="s">
        <v>732</v>
      </c>
      <c r="H8" s="9" t="s">
        <v>733</v>
      </c>
    </row>
    <row r="9" spans="1:8" ht="28.5" customHeight="1">
      <c r="A9" s="7" t="s">
        <v>734</v>
      </c>
      <c r="B9" s="8" t="s">
        <v>735</v>
      </c>
      <c r="C9" s="8" t="s">
        <v>736</v>
      </c>
      <c r="D9" s="8" t="s">
        <v>737</v>
      </c>
      <c r="E9" s="8" t="s">
        <v>738</v>
      </c>
      <c r="F9" s="8" t="s">
        <v>739</v>
      </c>
      <c r="G9" s="8" t="s">
        <v>740</v>
      </c>
      <c r="H9" s="8" t="s">
        <v>741</v>
      </c>
    </row>
    <row r="10" spans="1:8" ht="41.25" customHeight="1">
      <c r="A10" s="7" t="s">
        <v>742</v>
      </c>
      <c r="B10" s="9" t="s">
        <v>743</v>
      </c>
      <c r="C10" s="9" t="s">
        <v>520</v>
      </c>
      <c r="D10" s="9" t="s">
        <v>744</v>
      </c>
      <c r="E10" s="9" t="s">
        <v>745</v>
      </c>
      <c r="F10" s="9" t="s">
        <v>746</v>
      </c>
      <c r="G10" s="9" t="s">
        <v>747</v>
      </c>
      <c r="H10" s="9" t="s">
        <v>748</v>
      </c>
    </row>
    <row r="11" spans="1:8" ht="41.25" customHeight="1">
      <c r="A11" s="7" t="s">
        <v>561</v>
      </c>
      <c r="B11" s="8" t="s">
        <v>749</v>
      </c>
      <c r="C11" s="8" t="s">
        <v>520</v>
      </c>
      <c r="D11" s="8" t="s">
        <v>750</v>
      </c>
      <c r="E11" s="8" t="s">
        <v>751</v>
      </c>
      <c r="F11" s="8" t="s">
        <v>752</v>
      </c>
      <c r="G11" s="10" t="s">
        <v>753</v>
      </c>
      <c r="H11" s="8" t="s">
        <v>567</v>
      </c>
    </row>
    <row r="12" spans="1:8" ht="41.25" customHeight="1">
      <c r="A12" s="7" t="s">
        <v>88</v>
      </c>
      <c r="B12" s="9" t="s">
        <v>754</v>
      </c>
      <c r="C12" s="9" t="s">
        <v>755</v>
      </c>
      <c r="D12" s="9" t="s">
        <v>756</v>
      </c>
      <c r="E12" s="9" t="s">
        <v>757</v>
      </c>
      <c r="F12" s="9" t="s">
        <v>758</v>
      </c>
      <c r="G12" s="9" t="s">
        <v>759</v>
      </c>
      <c r="H12" s="9" t="s">
        <v>760</v>
      </c>
    </row>
  </sheetData>
  <autoFilter ref="A4:H12" xr:uid="{00000000-0009-0000-0000-000009000000}"/>
  <mergeCells count="2">
    <mergeCell ref="A1:H1"/>
    <mergeCell ref="A2:H2"/>
  </mergeCells>
  <pageMargins left="0.75" right="0.75" top="1" bottom="1" header="0.511811023622047" footer="0.511811023622047"/>
  <pageSetup fitToHeight="0" orientation="landscape"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2E75B6"/>
    <pageSetUpPr fitToPage="1"/>
  </sheetPr>
  <dimension ref="A1:H16"/>
  <sheetViews>
    <sheetView showGridLines="0" zoomScaleNormal="100" workbookViewId="0">
      <pane xSplit="2" ySplit="4" topLeftCell="C5" activePane="bottomRight" state="frozen"/>
      <selection pane="bottomRight"/>
      <selection pane="bottomLeft" activeCell="A5" sqref="A5"/>
      <selection pane="topRight" activeCell="C1" sqref="C1"/>
    </sheetView>
  </sheetViews>
  <sheetFormatPr defaultColWidth="8.7109375" defaultRowHeight="15"/>
  <cols>
    <col min="1" max="1" width="16" customWidth="1"/>
    <col min="2" max="2" width="28" customWidth="1"/>
    <col min="3" max="3" width="14" customWidth="1"/>
    <col min="4" max="4" width="20" customWidth="1"/>
    <col min="5" max="5" width="32" customWidth="1"/>
    <col min="6" max="6" width="46" customWidth="1"/>
    <col min="7" max="7" width="40" customWidth="1"/>
    <col min="8" max="8" width="20" customWidth="1"/>
  </cols>
  <sheetData>
    <row r="1" spans="1:8" ht="21.75" customHeight="1">
      <c r="A1" s="21" t="s">
        <v>761</v>
      </c>
      <c r="B1" s="21"/>
      <c r="C1" s="21"/>
      <c r="D1" s="21"/>
      <c r="E1" s="21"/>
      <c r="F1" s="21"/>
      <c r="G1" s="21"/>
      <c r="H1" s="21"/>
    </row>
    <row r="2" spans="1:8" ht="25.5" customHeight="1">
      <c r="A2" s="20" t="s">
        <v>762</v>
      </c>
      <c r="B2" s="20"/>
      <c r="C2" s="20"/>
      <c r="D2" s="20"/>
      <c r="E2" s="20"/>
      <c r="F2" s="20"/>
      <c r="G2" s="20"/>
      <c r="H2" s="20"/>
    </row>
    <row r="4" spans="1:8">
      <c r="A4" s="6" t="s">
        <v>18</v>
      </c>
      <c r="B4" s="6" t="s">
        <v>19</v>
      </c>
      <c r="C4" s="6" t="s">
        <v>20</v>
      </c>
      <c r="D4" s="6" t="s">
        <v>442</v>
      </c>
      <c r="E4" s="6" t="s">
        <v>22</v>
      </c>
      <c r="F4" s="6" t="s">
        <v>23</v>
      </c>
      <c r="G4" s="6" t="s">
        <v>443</v>
      </c>
      <c r="H4" s="6" t="s">
        <v>25</v>
      </c>
    </row>
    <row r="5" spans="1:8" ht="41.25" customHeight="1">
      <c r="A5" s="7" t="s">
        <v>763</v>
      </c>
      <c r="B5" s="8" t="s">
        <v>764</v>
      </c>
      <c r="C5" s="8" t="s">
        <v>520</v>
      </c>
      <c r="D5" s="8" t="s">
        <v>765</v>
      </c>
      <c r="E5" s="8" t="s">
        <v>766</v>
      </c>
      <c r="F5" s="8" t="s">
        <v>767</v>
      </c>
      <c r="G5" s="10" t="s">
        <v>768</v>
      </c>
      <c r="H5" s="8" t="s">
        <v>769</v>
      </c>
    </row>
    <row r="6" spans="1:8" ht="41.25" customHeight="1">
      <c r="A6" s="7" t="s">
        <v>770</v>
      </c>
      <c r="B6" s="9" t="s">
        <v>771</v>
      </c>
      <c r="C6" s="9" t="s">
        <v>446</v>
      </c>
      <c r="D6" s="9" t="s">
        <v>772</v>
      </c>
      <c r="E6" s="9" t="s">
        <v>773</v>
      </c>
      <c r="F6" s="9" t="s">
        <v>774</v>
      </c>
      <c r="G6" s="10" t="s">
        <v>775</v>
      </c>
      <c r="H6" s="9" t="s">
        <v>776</v>
      </c>
    </row>
    <row r="7" spans="1:8" ht="28.5" customHeight="1">
      <c r="A7" s="7" t="s">
        <v>777</v>
      </c>
      <c r="B7" s="8" t="s">
        <v>778</v>
      </c>
      <c r="C7" s="8" t="s">
        <v>779</v>
      </c>
      <c r="D7" s="8" t="s">
        <v>780</v>
      </c>
      <c r="E7" s="8" t="s">
        <v>781</v>
      </c>
      <c r="F7" s="8" t="s">
        <v>782</v>
      </c>
      <c r="G7" s="8" t="s">
        <v>783</v>
      </c>
      <c r="H7" s="8" t="s">
        <v>784</v>
      </c>
    </row>
    <row r="8" spans="1:8" ht="41.25" customHeight="1">
      <c r="A8" s="7" t="s">
        <v>785</v>
      </c>
      <c r="B8" s="9" t="s">
        <v>786</v>
      </c>
      <c r="C8" s="9" t="s">
        <v>787</v>
      </c>
      <c r="D8" s="9" t="s">
        <v>788</v>
      </c>
      <c r="E8" s="9" t="s">
        <v>789</v>
      </c>
      <c r="F8" s="9" t="s">
        <v>790</v>
      </c>
      <c r="G8" s="9" t="s">
        <v>791</v>
      </c>
      <c r="H8" s="9" t="s">
        <v>518</v>
      </c>
    </row>
    <row r="9" spans="1:8" ht="28.5" customHeight="1">
      <c r="A9" s="7" t="s">
        <v>792</v>
      </c>
      <c r="B9" s="8" t="s">
        <v>793</v>
      </c>
      <c r="C9" s="8" t="s">
        <v>520</v>
      </c>
      <c r="D9" s="8" t="s">
        <v>794</v>
      </c>
      <c r="E9" s="8" t="s">
        <v>795</v>
      </c>
      <c r="F9" s="8" t="s">
        <v>796</v>
      </c>
      <c r="G9" s="8" t="s">
        <v>797</v>
      </c>
      <c r="H9" s="8" t="s">
        <v>798</v>
      </c>
    </row>
    <row r="10" spans="1:8" ht="54" customHeight="1">
      <c r="A10" s="7" t="s">
        <v>799</v>
      </c>
      <c r="B10" s="9" t="s">
        <v>800</v>
      </c>
      <c r="C10" s="9" t="s">
        <v>801</v>
      </c>
      <c r="D10" s="9" t="s">
        <v>794</v>
      </c>
      <c r="E10" s="9" t="s">
        <v>802</v>
      </c>
      <c r="F10" s="9" t="s">
        <v>803</v>
      </c>
      <c r="G10" s="9" t="s">
        <v>804</v>
      </c>
      <c r="H10" s="9" t="s">
        <v>518</v>
      </c>
    </row>
    <row r="11" spans="1:8" ht="28.5" customHeight="1">
      <c r="A11" s="7" t="s">
        <v>805</v>
      </c>
      <c r="B11" s="8" t="s">
        <v>806</v>
      </c>
      <c r="C11" s="8" t="s">
        <v>520</v>
      </c>
      <c r="D11" s="8" t="s">
        <v>807</v>
      </c>
      <c r="E11" s="8" t="s">
        <v>808</v>
      </c>
      <c r="F11" s="8" t="s">
        <v>809</v>
      </c>
      <c r="G11" s="8" t="s">
        <v>810</v>
      </c>
      <c r="H11" s="8" t="s">
        <v>811</v>
      </c>
    </row>
    <row r="12" spans="1:8" ht="28.5" customHeight="1">
      <c r="A12" s="7" t="s">
        <v>812</v>
      </c>
      <c r="B12" s="9" t="s">
        <v>813</v>
      </c>
      <c r="C12" s="9" t="s">
        <v>814</v>
      </c>
      <c r="D12" s="9" t="s">
        <v>815</v>
      </c>
      <c r="E12" s="9" t="s">
        <v>816</v>
      </c>
      <c r="F12" s="9" t="s">
        <v>817</v>
      </c>
      <c r="G12" s="9" t="s">
        <v>818</v>
      </c>
      <c r="H12" s="9" t="s">
        <v>819</v>
      </c>
    </row>
    <row r="13" spans="1:8" ht="41.25" customHeight="1">
      <c r="A13" s="7" t="s">
        <v>820</v>
      </c>
      <c r="B13" s="8" t="s">
        <v>821</v>
      </c>
      <c r="C13" s="8" t="s">
        <v>822</v>
      </c>
      <c r="D13" s="8" t="s">
        <v>823</v>
      </c>
      <c r="E13" s="8" t="s">
        <v>824</v>
      </c>
      <c r="F13" s="8" t="s">
        <v>825</v>
      </c>
      <c r="G13" s="8" t="s">
        <v>826</v>
      </c>
      <c r="H13" s="8" t="s">
        <v>827</v>
      </c>
    </row>
    <row r="14" spans="1:8" ht="41.25" customHeight="1">
      <c r="A14" s="7" t="s">
        <v>828</v>
      </c>
      <c r="B14" s="9" t="s">
        <v>829</v>
      </c>
      <c r="C14" s="9" t="s">
        <v>830</v>
      </c>
      <c r="D14" s="9" t="s">
        <v>831</v>
      </c>
      <c r="E14" s="9" t="s">
        <v>832</v>
      </c>
      <c r="F14" s="9" t="s">
        <v>833</v>
      </c>
      <c r="G14" s="9" t="s">
        <v>834</v>
      </c>
      <c r="H14" s="9" t="s">
        <v>518</v>
      </c>
    </row>
    <row r="15" spans="1:8" ht="41.25" customHeight="1">
      <c r="A15" s="7" t="s">
        <v>835</v>
      </c>
      <c r="B15" s="8" t="s">
        <v>836</v>
      </c>
      <c r="C15" s="8" t="s">
        <v>182</v>
      </c>
      <c r="D15" s="11" t="s">
        <v>141</v>
      </c>
      <c r="E15" s="8" t="s">
        <v>837</v>
      </c>
      <c r="F15" s="8" t="s">
        <v>838</v>
      </c>
      <c r="G15" s="8" t="s">
        <v>839</v>
      </c>
      <c r="H15" s="8" t="s">
        <v>625</v>
      </c>
    </row>
    <row r="16" spans="1:8" ht="41.25" customHeight="1">
      <c r="A16" s="7" t="s">
        <v>840</v>
      </c>
      <c r="B16" s="9" t="s">
        <v>841</v>
      </c>
      <c r="C16" s="9" t="s">
        <v>842</v>
      </c>
      <c r="D16" s="9" t="s">
        <v>843</v>
      </c>
      <c r="E16" s="9" t="s">
        <v>844</v>
      </c>
      <c r="F16" s="9" t="s">
        <v>845</v>
      </c>
      <c r="G16" s="9" t="s">
        <v>846</v>
      </c>
      <c r="H16" s="9" t="s">
        <v>847</v>
      </c>
    </row>
  </sheetData>
  <autoFilter ref="A4:H16" xr:uid="{00000000-0009-0000-0000-00000A000000}"/>
  <mergeCells count="2">
    <mergeCell ref="A1:H1"/>
    <mergeCell ref="A2:H2"/>
  </mergeCells>
  <pageMargins left="0.75" right="0.75" top="1" bottom="1" header="0.511811023622047" footer="0.511811023622047"/>
  <pageSetup fitToHeight="0" orientation="landscape"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2E75B6"/>
    <pageSetUpPr fitToPage="1"/>
  </sheetPr>
  <dimension ref="A1:H13"/>
  <sheetViews>
    <sheetView showGridLines="0" zoomScaleNormal="100" workbookViewId="0">
      <pane xSplit="2" ySplit="4" topLeftCell="C5" activePane="bottomRight" state="frozen"/>
      <selection pane="bottomRight"/>
      <selection pane="bottomLeft" activeCell="A5" sqref="A5"/>
      <selection pane="topRight" activeCell="C1" sqref="C1"/>
    </sheetView>
  </sheetViews>
  <sheetFormatPr defaultColWidth="8.7109375" defaultRowHeight="15"/>
  <cols>
    <col min="1" max="1" width="16" customWidth="1"/>
    <col min="2" max="2" width="28" customWidth="1"/>
    <col min="3" max="3" width="14" customWidth="1"/>
    <col min="4" max="4" width="20" customWidth="1"/>
    <col min="5" max="5" width="32" customWidth="1"/>
    <col min="6" max="6" width="46" customWidth="1"/>
    <col min="7" max="7" width="40" customWidth="1"/>
    <col min="8" max="8" width="20" customWidth="1"/>
  </cols>
  <sheetData>
    <row r="1" spans="1:8" ht="21.75" customHeight="1">
      <c r="A1" s="21" t="s">
        <v>848</v>
      </c>
      <c r="B1" s="21"/>
      <c r="C1" s="21"/>
      <c r="D1" s="21"/>
      <c r="E1" s="21"/>
      <c r="F1" s="21"/>
      <c r="G1" s="21"/>
      <c r="H1" s="21"/>
    </row>
    <row r="2" spans="1:8" ht="25.5" customHeight="1">
      <c r="A2" s="20" t="s">
        <v>849</v>
      </c>
      <c r="B2" s="20"/>
      <c r="C2" s="20"/>
      <c r="D2" s="20"/>
      <c r="E2" s="20"/>
      <c r="F2" s="20"/>
      <c r="G2" s="20"/>
      <c r="H2" s="20"/>
    </row>
    <row r="4" spans="1:8">
      <c r="A4" s="6" t="s">
        <v>18</v>
      </c>
      <c r="B4" s="6" t="s">
        <v>19</v>
      </c>
      <c r="C4" s="6" t="s">
        <v>20</v>
      </c>
      <c r="D4" s="6" t="s">
        <v>442</v>
      </c>
      <c r="E4" s="6" t="s">
        <v>22</v>
      </c>
      <c r="F4" s="6" t="s">
        <v>23</v>
      </c>
      <c r="G4" s="6" t="s">
        <v>443</v>
      </c>
      <c r="H4" s="6" t="s">
        <v>25</v>
      </c>
    </row>
    <row r="5" spans="1:8" ht="66" customHeight="1">
      <c r="A5" s="7" t="s">
        <v>444</v>
      </c>
      <c r="B5" s="8" t="s">
        <v>850</v>
      </c>
      <c r="C5" s="8" t="s">
        <v>851</v>
      </c>
      <c r="D5" s="8" t="s">
        <v>852</v>
      </c>
      <c r="E5" s="8" t="s">
        <v>789</v>
      </c>
      <c r="F5" s="8" t="s">
        <v>853</v>
      </c>
      <c r="G5" s="8" t="s">
        <v>854</v>
      </c>
      <c r="H5" s="8" t="s">
        <v>518</v>
      </c>
    </row>
    <row r="6" spans="1:8" ht="54" customHeight="1">
      <c r="A6" s="7" t="s">
        <v>467</v>
      </c>
      <c r="B6" s="9" t="s">
        <v>855</v>
      </c>
      <c r="C6" s="9" t="s">
        <v>520</v>
      </c>
      <c r="D6" s="9" t="s">
        <v>856</v>
      </c>
      <c r="E6" s="9" t="s">
        <v>857</v>
      </c>
      <c r="F6" s="9" t="s">
        <v>858</v>
      </c>
      <c r="G6" s="9" t="s">
        <v>859</v>
      </c>
      <c r="H6" s="9" t="s">
        <v>860</v>
      </c>
    </row>
    <row r="7" spans="1:8" ht="41.25" customHeight="1">
      <c r="A7" s="7" t="s">
        <v>861</v>
      </c>
      <c r="B7" s="8" t="s">
        <v>862</v>
      </c>
      <c r="C7" s="8" t="s">
        <v>520</v>
      </c>
      <c r="D7" s="8" t="s">
        <v>863</v>
      </c>
      <c r="E7" s="8" t="s">
        <v>864</v>
      </c>
      <c r="F7" s="8" t="s">
        <v>865</v>
      </c>
      <c r="G7" s="8" t="s">
        <v>866</v>
      </c>
      <c r="H7" s="8" t="s">
        <v>518</v>
      </c>
    </row>
    <row r="8" spans="1:8" ht="28.5" customHeight="1">
      <c r="A8" s="7" t="s">
        <v>540</v>
      </c>
      <c r="B8" s="9" t="s">
        <v>867</v>
      </c>
      <c r="C8" s="9" t="s">
        <v>520</v>
      </c>
      <c r="D8" s="9" t="s">
        <v>868</v>
      </c>
      <c r="E8" s="9" t="s">
        <v>869</v>
      </c>
      <c r="F8" s="9" t="s">
        <v>870</v>
      </c>
      <c r="G8" s="9" t="s">
        <v>871</v>
      </c>
      <c r="H8" s="9" t="s">
        <v>546</v>
      </c>
    </row>
    <row r="9" spans="1:8" ht="41.25" customHeight="1">
      <c r="A9" s="7" t="s">
        <v>872</v>
      </c>
      <c r="B9" s="8" t="s">
        <v>873</v>
      </c>
      <c r="C9" s="8" t="s">
        <v>520</v>
      </c>
      <c r="D9" s="8" t="s">
        <v>874</v>
      </c>
      <c r="E9" s="8" t="s">
        <v>875</v>
      </c>
      <c r="F9" s="8" t="s">
        <v>876</v>
      </c>
      <c r="G9" s="8" t="s">
        <v>877</v>
      </c>
      <c r="H9" s="8" t="s">
        <v>539</v>
      </c>
    </row>
    <row r="10" spans="1:8" ht="28.5" customHeight="1">
      <c r="A10" s="7" t="s">
        <v>67</v>
      </c>
      <c r="B10" s="9" t="s">
        <v>878</v>
      </c>
      <c r="C10" s="9" t="s">
        <v>520</v>
      </c>
      <c r="D10" s="9" t="s">
        <v>879</v>
      </c>
      <c r="E10" s="9" t="s">
        <v>880</v>
      </c>
      <c r="F10" s="9" t="s">
        <v>881</v>
      </c>
      <c r="G10" s="9" t="s">
        <v>882</v>
      </c>
      <c r="H10" s="9" t="s">
        <v>649</v>
      </c>
    </row>
    <row r="11" spans="1:8" ht="28.5" customHeight="1">
      <c r="A11" s="7" t="s">
        <v>526</v>
      </c>
      <c r="B11" s="8" t="s">
        <v>883</v>
      </c>
      <c r="C11" s="8" t="s">
        <v>520</v>
      </c>
      <c r="D11" s="8" t="s">
        <v>884</v>
      </c>
      <c r="E11" s="8" t="s">
        <v>885</v>
      </c>
      <c r="F11" s="8" t="s">
        <v>886</v>
      </c>
      <c r="G11" s="8" t="s">
        <v>887</v>
      </c>
      <c r="H11" s="8" t="s">
        <v>888</v>
      </c>
    </row>
    <row r="12" spans="1:8" ht="28.5" customHeight="1">
      <c r="A12" s="7" t="s">
        <v>547</v>
      </c>
      <c r="B12" s="9" t="s">
        <v>889</v>
      </c>
      <c r="C12" s="9" t="s">
        <v>446</v>
      </c>
      <c r="D12" s="9" t="s">
        <v>890</v>
      </c>
      <c r="E12" s="9" t="s">
        <v>891</v>
      </c>
      <c r="F12" s="9" t="s">
        <v>892</v>
      </c>
      <c r="G12" s="9" t="s">
        <v>893</v>
      </c>
      <c r="H12" s="9" t="s">
        <v>894</v>
      </c>
    </row>
    <row r="13" spans="1:8" ht="28.5" customHeight="1">
      <c r="A13" s="7" t="s">
        <v>561</v>
      </c>
      <c r="B13" s="8" t="s">
        <v>895</v>
      </c>
      <c r="C13" s="8" t="s">
        <v>520</v>
      </c>
      <c r="D13" s="8" t="s">
        <v>863</v>
      </c>
      <c r="E13" s="8" t="s">
        <v>751</v>
      </c>
      <c r="F13" s="8" t="s">
        <v>896</v>
      </c>
      <c r="G13" s="8" t="s">
        <v>897</v>
      </c>
      <c r="H13" s="8" t="s">
        <v>811</v>
      </c>
    </row>
  </sheetData>
  <autoFilter ref="A4:H13" xr:uid="{00000000-0009-0000-0000-00000B000000}"/>
  <mergeCells count="2">
    <mergeCell ref="A1:H1"/>
    <mergeCell ref="A2:H2"/>
  </mergeCells>
  <pageMargins left="0.75" right="0.75" top="1" bottom="1" header="0.511811023622047" footer="0.511811023622047"/>
  <pageSetup fitToHeight="0" orientation="landscape"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2E75B6"/>
    <pageSetUpPr fitToPage="1"/>
  </sheetPr>
  <dimension ref="A1:H12"/>
  <sheetViews>
    <sheetView showGridLines="0" zoomScaleNormal="100" workbookViewId="0">
      <pane xSplit="2" ySplit="4" topLeftCell="C5" activePane="bottomRight" state="frozen"/>
      <selection pane="bottomRight"/>
      <selection pane="bottomLeft" activeCell="A5" sqref="A5"/>
      <selection pane="topRight" activeCell="C1" sqref="C1"/>
    </sheetView>
  </sheetViews>
  <sheetFormatPr defaultColWidth="8.7109375" defaultRowHeight="15"/>
  <cols>
    <col min="1" max="1" width="16" customWidth="1"/>
    <col min="2" max="2" width="28" customWidth="1"/>
    <col min="3" max="3" width="14" customWidth="1"/>
    <col min="4" max="4" width="20" customWidth="1"/>
    <col min="5" max="5" width="32" customWidth="1"/>
    <col min="6" max="6" width="46" customWidth="1"/>
    <col min="7" max="7" width="40" customWidth="1"/>
    <col min="8" max="8" width="20" customWidth="1"/>
  </cols>
  <sheetData>
    <row r="1" spans="1:8" ht="21.75" customHeight="1">
      <c r="A1" s="21" t="s">
        <v>898</v>
      </c>
      <c r="B1" s="21"/>
      <c r="C1" s="21"/>
      <c r="D1" s="21"/>
      <c r="E1" s="21"/>
      <c r="F1" s="21"/>
      <c r="G1" s="21"/>
      <c r="H1" s="21"/>
    </row>
    <row r="2" spans="1:8" ht="25.5" customHeight="1">
      <c r="A2" s="20" t="s">
        <v>899</v>
      </c>
      <c r="B2" s="20"/>
      <c r="C2" s="20"/>
      <c r="D2" s="20"/>
      <c r="E2" s="20"/>
      <c r="F2" s="20"/>
      <c r="G2" s="20"/>
      <c r="H2" s="20"/>
    </row>
    <row r="4" spans="1:8">
      <c r="A4" s="6" t="s">
        <v>18</v>
      </c>
      <c r="B4" s="6" t="s">
        <v>19</v>
      </c>
      <c r="C4" s="6" t="s">
        <v>20</v>
      </c>
      <c r="D4" s="6" t="s">
        <v>442</v>
      </c>
      <c r="E4" s="6" t="s">
        <v>22</v>
      </c>
      <c r="F4" s="6" t="s">
        <v>23</v>
      </c>
      <c r="G4" s="6" t="s">
        <v>443</v>
      </c>
      <c r="H4" s="6" t="s">
        <v>25</v>
      </c>
    </row>
    <row r="5" spans="1:8" ht="54" customHeight="1">
      <c r="A5" s="7" t="s">
        <v>444</v>
      </c>
      <c r="B5" s="8" t="s">
        <v>900</v>
      </c>
      <c r="C5" s="8" t="s">
        <v>167</v>
      </c>
      <c r="D5" s="8" t="s">
        <v>901</v>
      </c>
      <c r="E5" s="8" t="s">
        <v>902</v>
      </c>
      <c r="F5" s="8" t="s">
        <v>903</v>
      </c>
      <c r="G5" s="8" t="s">
        <v>904</v>
      </c>
      <c r="H5" s="8" t="s">
        <v>518</v>
      </c>
    </row>
    <row r="6" spans="1:8" ht="54" customHeight="1">
      <c r="A6" s="7" t="s">
        <v>580</v>
      </c>
      <c r="B6" s="9" t="s">
        <v>905</v>
      </c>
      <c r="C6" s="9" t="s">
        <v>830</v>
      </c>
      <c r="D6" s="9" t="s">
        <v>906</v>
      </c>
      <c r="E6" s="9" t="s">
        <v>907</v>
      </c>
      <c r="F6" s="9" t="s">
        <v>908</v>
      </c>
      <c r="G6" s="9" t="s">
        <v>909</v>
      </c>
      <c r="H6" s="9" t="s">
        <v>910</v>
      </c>
    </row>
    <row r="7" spans="1:8" ht="41.25" customHeight="1">
      <c r="A7" s="7" t="s">
        <v>547</v>
      </c>
      <c r="B7" s="8" t="s">
        <v>911</v>
      </c>
      <c r="C7" s="8" t="s">
        <v>912</v>
      </c>
      <c r="D7" s="8" t="s">
        <v>913</v>
      </c>
      <c r="E7" s="8" t="s">
        <v>914</v>
      </c>
      <c r="F7" s="8" t="s">
        <v>915</v>
      </c>
      <c r="G7" s="8" t="s">
        <v>916</v>
      </c>
      <c r="H7" s="8" t="s">
        <v>553</v>
      </c>
    </row>
    <row r="8" spans="1:8" ht="28.5" customHeight="1">
      <c r="A8" s="7" t="s">
        <v>677</v>
      </c>
      <c r="B8" s="9" t="s">
        <v>917</v>
      </c>
      <c r="C8" s="9" t="s">
        <v>520</v>
      </c>
      <c r="D8" s="9" t="s">
        <v>918</v>
      </c>
      <c r="E8" s="9" t="s">
        <v>919</v>
      </c>
      <c r="F8" s="9" t="s">
        <v>920</v>
      </c>
      <c r="G8" s="9" t="s">
        <v>921</v>
      </c>
      <c r="H8" s="9" t="s">
        <v>922</v>
      </c>
    </row>
    <row r="9" spans="1:8" ht="28.5" customHeight="1">
      <c r="A9" s="7" t="s">
        <v>923</v>
      </c>
      <c r="B9" s="8" t="s">
        <v>924</v>
      </c>
      <c r="C9" s="8" t="s">
        <v>520</v>
      </c>
      <c r="D9" s="8" t="s">
        <v>925</v>
      </c>
      <c r="E9" s="8" t="s">
        <v>926</v>
      </c>
      <c r="F9" s="8" t="s">
        <v>927</v>
      </c>
      <c r="G9" s="10" t="s">
        <v>928</v>
      </c>
      <c r="H9" s="8" t="s">
        <v>696</v>
      </c>
    </row>
    <row r="10" spans="1:8" ht="41.25" customHeight="1">
      <c r="A10" s="7" t="s">
        <v>26</v>
      </c>
      <c r="B10" s="9" t="s">
        <v>929</v>
      </c>
      <c r="C10" s="9" t="s">
        <v>520</v>
      </c>
      <c r="D10" s="9" t="s">
        <v>930</v>
      </c>
      <c r="E10" s="9" t="s">
        <v>931</v>
      </c>
      <c r="F10" s="9" t="s">
        <v>932</v>
      </c>
      <c r="G10" s="10" t="s">
        <v>933</v>
      </c>
      <c r="H10" s="9" t="s">
        <v>888</v>
      </c>
    </row>
    <row r="11" spans="1:8" ht="28.5" customHeight="1">
      <c r="A11" s="7" t="s">
        <v>561</v>
      </c>
      <c r="B11" s="8" t="s">
        <v>934</v>
      </c>
      <c r="C11" s="8" t="s">
        <v>520</v>
      </c>
      <c r="D11" s="8" t="s">
        <v>863</v>
      </c>
      <c r="E11" s="8" t="s">
        <v>935</v>
      </c>
      <c r="F11" s="8" t="s">
        <v>936</v>
      </c>
      <c r="G11" s="8" t="s">
        <v>937</v>
      </c>
      <c r="H11" s="8" t="s">
        <v>811</v>
      </c>
    </row>
    <row r="12" spans="1:8" ht="41.25" customHeight="1">
      <c r="A12" s="7" t="s">
        <v>88</v>
      </c>
      <c r="B12" s="9" t="s">
        <v>938</v>
      </c>
      <c r="C12" s="9" t="s">
        <v>939</v>
      </c>
      <c r="D12" s="9" t="s">
        <v>940</v>
      </c>
      <c r="E12" s="9" t="s">
        <v>941</v>
      </c>
      <c r="F12" s="9" t="s">
        <v>942</v>
      </c>
      <c r="G12" s="12" t="s">
        <v>141</v>
      </c>
      <c r="H12" s="9" t="s">
        <v>760</v>
      </c>
    </row>
  </sheetData>
  <autoFilter ref="A4:H12" xr:uid="{00000000-0009-0000-0000-00000C000000}"/>
  <mergeCells count="2">
    <mergeCell ref="A1:H1"/>
    <mergeCell ref="A2:H2"/>
  </mergeCells>
  <pageMargins left="0.75" right="0.75" top="1" bottom="1" header="0.511811023622047" footer="0.511811023622047"/>
  <pageSetup fitToHeight="0" orientation="landscape"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32"/>
  <sheetViews>
    <sheetView showGridLines="0" zoomScaleNormal="100" workbookViewId="0"/>
  </sheetViews>
  <sheetFormatPr defaultColWidth="8.7109375" defaultRowHeight="15"/>
  <cols>
    <col min="1" max="1" width="52" customWidth="1"/>
    <col min="2" max="3" width="22" customWidth="1"/>
  </cols>
  <sheetData>
    <row r="1" spans="1:3" ht="21.75" customHeight="1">
      <c r="A1" s="21" t="s">
        <v>943</v>
      </c>
      <c r="B1" s="21"/>
      <c r="C1" s="21"/>
    </row>
    <row r="2" spans="1:3">
      <c r="A2" s="22" t="s">
        <v>944</v>
      </c>
      <c r="B2" s="22"/>
      <c r="C2" s="22"/>
    </row>
    <row r="4" spans="1:3">
      <c r="A4" s="6" t="s">
        <v>945</v>
      </c>
      <c r="B4" s="6" t="s">
        <v>946</v>
      </c>
      <c r="C4" s="6" t="s">
        <v>947</v>
      </c>
    </row>
    <row r="5" spans="1:3">
      <c r="A5" s="13" t="s">
        <v>203</v>
      </c>
      <c r="B5" s="14">
        <f>COUNTA('State Matrix'!$B$5:$B$30)-COUNTIF('State Matrix'!$B$5:$B$30,"—")</f>
        <v>7</v>
      </c>
      <c r="C5" s="15">
        <f>IFERROR(B5/$B$15,0)</f>
        <v>0.26923076923076922</v>
      </c>
    </row>
    <row r="6" spans="1:3">
      <c r="A6" s="13" t="s">
        <v>204</v>
      </c>
      <c r="B6" s="14">
        <f>COUNTA('State Matrix'!$C$5:$C$30)-COUNTIF('State Matrix'!$C$5:$C$30,"—")</f>
        <v>8</v>
      </c>
      <c r="C6" s="15">
        <f>IFERROR(B6/$B$15,0)</f>
        <v>0.30769230769230771</v>
      </c>
    </row>
    <row r="7" spans="1:3">
      <c r="A7" s="13" t="s">
        <v>205</v>
      </c>
      <c r="B7" s="14">
        <f>COUNTA('State Matrix'!$D$5:$D$30)-COUNTIF('State Matrix'!$D$5:$D$30,"—")</f>
        <v>18</v>
      </c>
      <c r="C7" s="15">
        <f>IFERROR(B7/$B$15,0)</f>
        <v>0.69230769230769229</v>
      </c>
    </row>
    <row r="8" spans="1:3">
      <c r="A8" s="13" t="s">
        <v>206</v>
      </c>
      <c r="B8" s="14">
        <f>COUNTA('State Matrix'!$E$5:$E$30)-COUNTIF('State Matrix'!$E$5:$E$30,"—")</f>
        <v>11</v>
      </c>
      <c r="C8" s="15">
        <f>IFERROR(B8/$B$15,0)</f>
        <v>0.42307692307692307</v>
      </c>
    </row>
    <row r="9" spans="1:3">
      <c r="A9" s="13" t="s">
        <v>207</v>
      </c>
      <c r="B9" s="14">
        <f>COUNTA('State Matrix'!$F$5:$F$30)-COUNTIF('State Matrix'!$F$5:$F$30,"—")</f>
        <v>18</v>
      </c>
      <c r="C9" s="15">
        <f>IFERROR(B9/$B$15,0)</f>
        <v>0.69230769230769229</v>
      </c>
    </row>
    <row r="10" spans="1:3">
      <c r="A10" s="13" t="s">
        <v>208</v>
      </c>
      <c r="B10" s="14">
        <f>COUNTA('State Matrix'!$G$5:$G$30)-COUNTIF('State Matrix'!$G$5:$G$30,"—")</f>
        <v>13</v>
      </c>
      <c r="C10" s="15">
        <f>IFERROR(B10/$B$15,0)</f>
        <v>0.5</v>
      </c>
    </row>
    <row r="11" spans="1:3">
      <c r="A11" s="13" t="s">
        <v>209</v>
      </c>
      <c r="B11" s="14">
        <f>COUNTA('State Matrix'!$H$5:$H$30)-COUNTIF('State Matrix'!$H$5:$H$30,"—")</f>
        <v>5</v>
      </c>
      <c r="C11" s="15">
        <f>IFERROR(B11/$B$15,0)</f>
        <v>0.19230769230769232</v>
      </c>
    </row>
    <row r="12" spans="1:3">
      <c r="A12" s="13" t="s">
        <v>210</v>
      </c>
      <c r="B12" s="14">
        <f>COUNTA('State Matrix'!$I$5:$I$30)-COUNTIF('State Matrix'!$I$5:$I$30,"—")</f>
        <v>10</v>
      </c>
      <c r="C12" s="15">
        <f>IFERROR(B12/$B$15,0)</f>
        <v>0.38461538461538464</v>
      </c>
    </row>
    <row r="13" spans="1:3">
      <c r="A13" s="13" t="s">
        <v>211</v>
      </c>
      <c r="B13" s="14">
        <f>COUNTA('State Matrix'!$J$5:$J$30)-COUNTIF('State Matrix'!$J$5:$J$30,"—")</f>
        <v>14</v>
      </c>
      <c r="C13" s="15">
        <f>IFERROR(B13/$B$15,0)</f>
        <v>0.53846153846153844</v>
      </c>
    </row>
    <row r="15" spans="1:3">
      <c r="A15" s="16" t="s">
        <v>948</v>
      </c>
      <c r="B15" s="17">
        <f>COUNTA('State Matrix'!$A$5:$A$30)</f>
        <v>26</v>
      </c>
      <c r="C15" s="18"/>
    </row>
    <row r="17" spans="1:3">
      <c r="A17" s="5" t="s">
        <v>949</v>
      </c>
    </row>
    <row r="19" spans="1:3">
      <c r="A19" s="19" t="s">
        <v>950</v>
      </c>
    </row>
    <row r="20" spans="1:3" ht="23.85">
      <c r="A20" s="6" t="s">
        <v>951</v>
      </c>
      <c r="B20" s="6" t="s">
        <v>952</v>
      </c>
      <c r="C20" s="6" t="s">
        <v>953</v>
      </c>
    </row>
    <row r="21" spans="1:3">
      <c r="A21" s="13" t="s">
        <v>345</v>
      </c>
      <c r="B21" s="14">
        <f>COUNTA('Global Matrix'!$B$5:$B$16)-COUNTIF('Global Matrix'!$B$5:$B$16,"—")</f>
        <v>12</v>
      </c>
      <c r="C21" s="15">
        <f>IFERROR(B21/$B$30,0)</f>
        <v>1</v>
      </c>
    </row>
    <row r="22" spans="1:3">
      <c r="A22" s="13" t="s">
        <v>204</v>
      </c>
      <c r="B22" s="14">
        <f>COUNTA('Global Matrix'!$C$5:$C$16)-COUNTIF('Global Matrix'!$C$5:$C$16,"—")</f>
        <v>8</v>
      </c>
      <c r="C22" s="15">
        <f>IFERROR(B22/$B$30,0)</f>
        <v>0.66666666666666663</v>
      </c>
    </row>
    <row r="23" spans="1:3">
      <c r="A23" s="13" t="s">
        <v>346</v>
      </c>
      <c r="B23" s="14">
        <f>COUNTA('Global Matrix'!$D$5:$D$16)-COUNTIF('Global Matrix'!$D$5:$D$16,"—")</f>
        <v>12</v>
      </c>
      <c r="C23" s="15">
        <f>IFERROR(B23/$B$30,0)</f>
        <v>1</v>
      </c>
    </row>
    <row r="24" spans="1:3">
      <c r="A24" s="13" t="s">
        <v>206</v>
      </c>
      <c r="B24" s="14">
        <f>COUNTA('Global Matrix'!$E$5:$E$16)-COUNTIF('Global Matrix'!$E$5:$E$16,"—")</f>
        <v>5</v>
      </c>
      <c r="C24" s="15">
        <f>IFERROR(B24/$B$30,0)</f>
        <v>0.41666666666666669</v>
      </c>
    </row>
    <row r="25" spans="1:3">
      <c r="A25" s="13" t="s">
        <v>207</v>
      </c>
      <c r="B25" s="14">
        <f>COUNTA('Global Matrix'!$F$5:$F$16)-COUNTIF('Global Matrix'!$F$5:$F$16,"—")</f>
        <v>7</v>
      </c>
      <c r="C25" s="15">
        <f>IFERROR(B25/$B$30,0)</f>
        <v>0.58333333333333337</v>
      </c>
    </row>
    <row r="26" spans="1:3">
      <c r="A26" s="13" t="s">
        <v>208</v>
      </c>
      <c r="B26" s="14">
        <f>COUNTA('Global Matrix'!$G$5:$G$16)-COUNTIF('Global Matrix'!$G$5:$G$16,"—")</f>
        <v>10</v>
      </c>
      <c r="C26" s="15">
        <f>IFERROR(B26/$B$30,0)</f>
        <v>0.83333333333333337</v>
      </c>
    </row>
    <row r="27" spans="1:3">
      <c r="A27" s="13" t="s">
        <v>347</v>
      </c>
      <c r="B27" s="14">
        <f>COUNTA('Global Matrix'!$H$5:$H$16)-COUNTIF('Global Matrix'!$H$5:$H$16,"—")</f>
        <v>6</v>
      </c>
      <c r="C27" s="15">
        <f>IFERROR(B27/$B$30,0)</f>
        <v>0.5</v>
      </c>
    </row>
    <row r="28" spans="1:3">
      <c r="A28" s="13" t="s">
        <v>348</v>
      </c>
      <c r="B28" s="14">
        <f>COUNTA('Global Matrix'!$I$5:$I$16)-COUNTIF('Global Matrix'!$I$5:$I$16,"—")</f>
        <v>6</v>
      </c>
      <c r="C28" s="15">
        <f>IFERROR(B28/$B$30,0)</f>
        <v>0.5</v>
      </c>
    </row>
    <row r="29" spans="1:3">
      <c r="A29" s="13" t="s">
        <v>349</v>
      </c>
      <c r="B29" s="14">
        <f>COUNTA('Global Matrix'!$J$5:$J$16)-COUNTIF('Global Matrix'!$J$5:$J$16,"—")</f>
        <v>12</v>
      </c>
      <c r="C29" s="15">
        <f>IFERROR(B29/$B$30,0)</f>
        <v>1</v>
      </c>
    </row>
    <row r="30" spans="1:3">
      <c r="A30" s="16" t="s">
        <v>954</v>
      </c>
      <c r="B30" s="17">
        <f>COUNTA('Global Matrix'!$A$5:$A$16)</f>
        <v>12</v>
      </c>
      <c r="C30" s="18"/>
    </row>
    <row r="32" spans="1:3">
      <c r="A32" s="5" t="s">
        <v>955</v>
      </c>
    </row>
  </sheetData>
  <mergeCells count="2">
    <mergeCell ref="A1:C1"/>
    <mergeCell ref="A2:C2"/>
  </mergeCells>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B38"/>
  <sheetViews>
    <sheetView showGridLines="0" zoomScaleNormal="100" workbookViewId="0"/>
  </sheetViews>
  <sheetFormatPr defaultColWidth="8.7109375" defaultRowHeight="15"/>
  <cols>
    <col min="1" max="1" width="34" customWidth="1"/>
    <col min="2" max="2" width="110" customWidth="1"/>
  </cols>
  <sheetData>
    <row r="1" spans="1:2" ht="21.75" customHeight="1">
      <c r="A1" s="21" t="s">
        <v>956</v>
      </c>
      <c r="B1" s="21"/>
    </row>
    <row r="2" spans="1:2">
      <c r="A2" s="22" t="s">
        <v>957</v>
      </c>
      <c r="B2" s="22"/>
    </row>
    <row r="4" spans="1:2">
      <c r="A4" s="6" t="s">
        <v>958</v>
      </c>
      <c r="B4" s="6" t="s">
        <v>959</v>
      </c>
    </row>
    <row r="5" spans="1:2" ht="28.5" customHeight="1">
      <c r="A5" s="7" t="s">
        <v>960</v>
      </c>
      <c r="B5" s="8" t="s">
        <v>961</v>
      </c>
    </row>
    <row r="6" spans="1:2" ht="16.5" customHeight="1">
      <c r="A6" s="7" t="s">
        <v>962</v>
      </c>
      <c r="B6" s="8" t="s">
        <v>963</v>
      </c>
    </row>
    <row r="7" spans="1:2" ht="28.5" customHeight="1">
      <c r="A7" s="7" t="s">
        <v>964</v>
      </c>
      <c r="B7" s="8" t="s">
        <v>965</v>
      </c>
    </row>
    <row r="8" spans="1:2" ht="16.5" customHeight="1">
      <c r="A8" s="7" t="s">
        <v>966</v>
      </c>
      <c r="B8" s="8" t="s">
        <v>967</v>
      </c>
    </row>
    <row r="9" spans="1:2" ht="28.5" customHeight="1">
      <c r="A9" s="7" t="s">
        <v>968</v>
      </c>
      <c r="B9" s="8" t="s">
        <v>969</v>
      </c>
    </row>
    <row r="10" spans="1:2" ht="16.5" customHeight="1">
      <c r="A10" s="7" t="s">
        <v>970</v>
      </c>
      <c r="B10" s="8" t="s">
        <v>971</v>
      </c>
    </row>
    <row r="11" spans="1:2" ht="28.5" customHeight="1">
      <c r="A11" s="7" t="s">
        <v>972</v>
      </c>
      <c r="B11" s="8" t="s">
        <v>973</v>
      </c>
    </row>
    <row r="12" spans="1:2" ht="16.5" customHeight="1">
      <c r="A12" s="7" t="s">
        <v>974</v>
      </c>
      <c r="B12" s="8" t="s">
        <v>975</v>
      </c>
    </row>
    <row r="13" spans="1:2" ht="16.5" customHeight="1">
      <c r="A13" s="7" t="s">
        <v>976</v>
      </c>
      <c r="B13" s="8" t="s">
        <v>977</v>
      </c>
    </row>
    <row r="14" spans="1:2" ht="28.5" customHeight="1">
      <c r="A14" s="7" t="s">
        <v>978</v>
      </c>
      <c r="B14" s="8" t="s">
        <v>979</v>
      </c>
    </row>
    <row r="15" spans="1:2" ht="16.5" customHeight="1">
      <c r="A15" s="7" t="s">
        <v>980</v>
      </c>
      <c r="B15" s="8" t="s">
        <v>981</v>
      </c>
    </row>
    <row r="16" spans="1:2" ht="16.5" customHeight="1">
      <c r="A16" s="7" t="s">
        <v>982</v>
      </c>
      <c r="B16" s="8" t="s">
        <v>983</v>
      </c>
    </row>
    <row r="17" spans="1:2" ht="28.5" customHeight="1">
      <c r="A17" s="7" t="s">
        <v>984</v>
      </c>
      <c r="B17" s="8" t="s">
        <v>985</v>
      </c>
    </row>
    <row r="18" spans="1:2" ht="16.5" customHeight="1">
      <c r="A18" s="7" t="s">
        <v>986</v>
      </c>
      <c r="B18" s="8" t="s">
        <v>987</v>
      </c>
    </row>
    <row r="19" spans="1:2" ht="16.5" customHeight="1">
      <c r="A19" s="7" t="s">
        <v>988</v>
      </c>
      <c r="B19" s="8" t="s">
        <v>989</v>
      </c>
    </row>
    <row r="20" spans="1:2" ht="28.5" customHeight="1">
      <c r="A20" s="7" t="s">
        <v>990</v>
      </c>
      <c r="B20" s="8" t="s">
        <v>991</v>
      </c>
    </row>
    <row r="21" spans="1:2" ht="28.5" customHeight="1">
      <c r="A21" s="7" t="s">
        <v>992</v>
      </c>
      <c r="B21" s="8" t="s">
        <v>993</v>
      </c>
    </row>
    <row r="22" spans="1:2" ht="16.5" customHeight="1">
      <c r="A22" s="7" t="s">
        <v>994</v>
      </c>
      <c r="B22" s="8" t="s">
        <v>995</v>
      </c>
    </row>
    <row r="23" spans="1:2" ht="28.5" customHeight="1">
      <c r="A23" s="7" t="s">
        <v>996</v>
      </c>
      <c r="B23" s="8" t="s">
        <v>997</v>
      </c>
    </row>
    <row r="24" spans="1:2" ht="16.5" customHeight="1">
      <c r="A24" s="7" t="s">
        <v>142</v>
      </c>
      <c r="B24" s="8" t="s">
        <v>998</v>
      </c>
    </row>
    <row r="25" spans="1:2" ht="16.5" customHeight="1">
      <c r="A25" s="7" t="s">
        <v>999</v>
      </c>
      <c r="B25" s="8" t="s">
        <v>1000</v>
      </c>
    </row>
    <row r="26" spans="1:2" ht="28.5" customHeight="1">
      <c r="A26" s="7" t="s">
        <v>1001</v>
      </c>
      <c r="B26" s="8" t="s">
        <v>1002</v>
      </c>
    </row>
    <row r="27" spans="1:2" ht="28.5" customHeight="1">
      <c r="A27" s="7" t="s">
        <v>1003</v>
      </c>
      <c r="B27" s="8" t="s">
        <v>1004</v>
      </c>
    </row>
    <row r="28" spans="1:2" ht="28.5" customHeight="1">
      <c r="A28" s="7" t="s">
        <v>1005</v>
      </c>
      <c r="B28" s="8" t="s">
        <v>1006</v>
      </c>
    </row>
    <row r="29" spans="1:2" ht="28.5" customHeight="1">
      <c r="A29" s="7" t="s">
        <v>1007</v>
      </c>
      <c r="B29" s="8" t="s">
        <v>1008</v>
      </c>
    </row>
    <row r="30" spans="1:2" ht="16.5" customHeight="1">
      <c r="A30" s="7" t="s">
        <v>1009</v>
      </c>
      <c r="B30" s="8" t="s">
        <v>1010</v>
      </c>
    </row>
    <row r="31" spans="1:2" ht="28.5" customHeight="1">
      <c r="A31" s="7" t="s">
        <v>1011</v>
      </c>
      <c r="B31" s="8" t="s">
        <v>1012</v>
      </c>
    </row>
    <row r="32" spans="1:2" ht="16.5" customHeight="1">
      <c r="A32" s="7" t="s">
        <v>1013</v>
      </c>
      <c r="B32" s="8" t="s">
        <v>1014</v>
      </c>
    </row>
    <row r="33" spans="1:2" ht="16.5" customHeight="1">
      <c r="A33" s="7" t="s">
        <v>1015</v>
      </c>
      <c r="B33" s="8" t="s">
        <v>1016</v>
      </c>
    </row>
    <row r="34" spans="1:2" ht="28.5" customHeight="1">
      <c r="A34" s="7" t="s">
        <v>1017</v>
      </c>
      <c r="B34" s="8" t="s">
        <v>1018</v>
      </c>
    </row>
    <row r="35" spans="1:2" ht="28.5" customHeight="1">
      <c r="A35" s="7" t="s">
        <v>1019</v>
      </c>
      <c r="B35" s="8" t="s">
        <v>1020</v>
      </c>
    </row>
    <row r="36" spans="1:2" ht="16.5" customHeight="1">
      <c r="A36" s="7" t="s">
        <v>1021</v>
      </c>
      <c r="B36" s="8" t="s">
        <v>1022</v>
      </c>
    </row>
    <row r="37" spans="1:2" ht="28.5" customHeight="1">
      <c r="A37" s="7" t="s">
        <v>423</v>
      </c>
      <c r="B37" s="8" t="s">
        <v>1023</v>
      </c>
    </row>
    <row r="38" spans="1:2" ht="16.5" customHeight="1">
      <c r="A38" s="7" t="s">
        <v>433</v>
      </c>
      <c r="B38" s="8" t="s">
        <v>1024</v>
      </c>
    </row>
  </sheetData>
  <mergeCells count="2">
    <mergeCell ref="A1:B1"/>
    <mergeCell ref="A2:B2"/>
  </mergeCells>
  <pageMargins left="0.75" right="0.75" top="1" bottom="1" header="0.511811023622047" footer="0.511811023622047"/>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7439F32090B6A4282AB60CDFBA34DE8" ma:contentTypeVersion="9" ma:contentTypeDescription="Create a new document." ma:contentTypeScope="" ma:versionID="ee8bf100273df9b653c34af90cda4322">
  <xsd:schema xmlns:xsd="http://www.w3.org/2001/XMLSchema" xmlns:xs="http://www.w3.org/2001/XMLSchema" xmlns:p="http://schemas.microsoft.com/office/2006/metadata/properties" xmlns:ns2="7a861c83-f381-4cd4-8c1a-4f0ca0cfd260" xmlns:ns3="2767cbf3-65dd-4335-bef8-4db93c5fa8ca" targetNamespace="http://schemas.microsoft.com/office/2006/metadata/properties" ma:root="true" ma:fieldsID="d7d96b2bff76c35421864353e812ddd6" ns2:_="" ns3:_="">
    <xsd:import namespace="7a861c83-f381-4cd4-8c1a-4f0ca0cfd260"/>
    <xsd:import namespace="2767cbf3-65dd-4335-bef8-4db93c5fa8c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a861c83-f381-4cd4-8c1a-4f0ca0cfd26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3ec66135-42be-434e-9542-a990e2d4ea72"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767cbf3-65dd-4335-bef8-4db93c5fa8ca"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2090afbc-8a01-443c-aa5c-d784eb9199d5}" ma:internalName="TaxCatchAll" ma:showField="CatchAllData" ma:web="2767cbf3-65dd-4335-bef8-4db93c5fa8c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2767cbf3-65dd-4335-bef8-4db93c5fa8ca" xsi:nil="true"/>
    <lcf76f155ced4ddcb4097134ff3c332f xmlns="7a861c83-f381-4cd4-8c1a-4f0ca0cfd26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344C4F15-BEC3-40EF-B163-398F5BCFFDDE}"/>
</file>

<file path=customXml/itemProps2.xml><?xml version="1.0" encoding="utf-8"?>
<ds:datastoreItem xmlns:ds="http://schemas.openxmlformats.org/officeDocument/2006/customXml" ds:itemID="{325F23DE-820E-4F0B-BDD8-F61FFD60B8F8}"/>
</file>

<file path=customXml/itemProps3.xml><?xml version="1.0" encoding="utf-8"?>
<ds:datastoreItem xmlns:ds="http://schemas.openxmlformats.org/officeDocument/2006/customXml" ds:itemID="{59F68677-FDF0-45E8-96A0-0ADDA68DF63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Sailesh  Badhey</cp:lastModifiedBy>
  <cp:revision>0</cp:revision>
  <dcterms:created xsi:type="dcterms:W3CDTF">2026-10-05T19:39:37Z</dcterms:created>
  <dcterms:modified xsi:type="dcterms:W3CDTF">2026-10-06T20:51:20Z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0x010100F7439F32090B6A4282AB60CDFBA34DE8</vt:lpwstr>
  </property>
  <property fmtid="{D5CDD505-2E9C-101B-9397-08002B2CF9AE}" pid="3" name="MediaServiceImageTags">
    <vt:lpwstr/>
  </property>
</Properties>
</file>